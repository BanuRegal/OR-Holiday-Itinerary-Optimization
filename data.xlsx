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G:\pindhan\Bismillah\Project\1. Holiday Itinerary Optimization\3. Data\1_New\"/>
    </mc:Choice>
  </mc:AlternateContent>
  <xr:revisionPtr revIDLastSave="0" documentId="13_ncr:1_{648954CE-697D-4E57-8932-182D3946A97C}" xr6:coauthVersionLast="47" xr6:coauthVersionMax="47" xr10:uidLastSave="{00000000-0000-0000-0000-000000000000}"/>
  <bookViews>
    <workbookView xWindow="10335" yWindow="630" windowWidth="10170" windowHeight="10905" xr2:uid="{00000000-000D-0000-FFFF-FFFF00000000}"/>
  </bookViews>
  <sheets>
    <sheet name="Data_Wisata" sheetId="1" r:id="rId1"/>
    <sheet name="Informasi Halte" sheetId="2" r:id="rId2"/>
    <sheet name="F_ab" sheetId="3" r:id="rId3"/>
    <sheet name="theta" sheetId="4" r:id="rId4"/>
    <sheet name="distance_d" sheetId="5" r:id="rId5"/>
    <sheet name="time_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2" l="1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<sst xmlns="http://schemas.openxmlformats.org/spreadsheetml/2006/main" count="246" uniqueCount="74">
  <si>
    <t>Tempat Wisata</t>
  </si>
  <si>
    <t>Rating</t>
  </si>
  <si>
    <t>Open Time</t>
  </si>
  <si>
    <t>Closed Time</t>
  </si>
  <si>
    <t>Min Time (in Minutes)</t>
  </si>
  <si>
    <t>Biaya</t>
  </si>
  <si>
    <t>Loji Gandrung</t>
  </si>
  <si>
    <t>Museum Keris Nusantara</t>
  </si>
  <si>
    <t>Wayang Orang Sriwedari</t>
  </si>
  <si>
    <t>Museum Batik Danar Hadi</t>
  </si>
  <si>
    <t>Pura Mangkunegaran</t>
  </si>
  <si>
    <t>Kampung Batik Kauman</t>
  </si>
  <si>
    <t>Pasar Gedhe</t>
  </si>
  <si>
    <t>Lokananta</t>
  </si>
  <si>
    <t xml:space="preserve">Masjid Raya Sheikh Zayed </t>
  </si>
  <si>
    <t>Taman Safari Solo</t>
  </si>
  <si>
    <t>Pasar Triwindu</t>
  </si>
  <si>
    <t>Koridor Gatsu</t>
  </si>
  <si>
    <t>Nama Halte</t>
  </si>
  <si>
    <t>Koridor Utama</t>
  </si>
  <si>
    <t>Koridor</t>
  </si>
  <si>
    <t>K2SB</t>
  </si>
  <si>
    <t>K4SB</t>
  </si>
  <si>
    <t>FD9</t>
  </si>
  <si>
    <t>K4SB, K3SB</t>
  </si>
  <si>
    <t>K1S</t>
  </si>
  <si>
    <t>K2SB, K1S</t>
  </si>
  <si>
    <t>K2SB, K4SB</t>
  </si>
  <si>
    <t>FD7</t>
  </si>
  <si>
    <t>FD10S, K3SB, FD7, K1S</t>
  </si>
  <si>
    <t>FD12</t>
  </si>
  <si>
    <t>FD10S, FD12, FD7</t>
  </si>
  <si>
    <t>K3SB</t>
  </si>
  <si>
    <t>FD10S, K3SB</t>
  </si>
  <si>
    <t>FD7, K1S</t>
  </si>
  <si>
    <t>FD10S, FD7</t>
  </si>
  <si>
    <t>FD10S, K3SB, K3M#, K1M#, FD7, K1S</t>
  </si>
  <si>
    <t>FD10S</t>
  </si>
  <si>
    <t>FD12, FD7</t>
  </si>
  <si>
    <t>K3SB, K1S</t>
  </si>
  <si>
    <t>K5SB, K1S</t>
  </si>
  <si>
    <t>K5SB, FD8S, K1S</t>
  </si>
  <si>
    <t>FD8S</t>
  </si>
  <si>
    <t>K5SB</t>
  </si>
  <si>
    <t>K5SB, FD8S, FD12, K1S</t>
  </si>
  <si>
    <t>Halte Viaduk Selatan</t>
  </si>
  <si>
    <t>Halte Viaduk Gilingan</t>
  </si>
  <si>
    <t>Halte Jurug 1</t>
  </si>
  <si>
    <t>Halte Jurug 2</t>
  </si>
  <si>
    <t>Halte Pasar Klewer</t>
  </si>
  <si>
    <t>Kelurahan Sri Wedari</t>
  </si>
  <si>
    <t>Halte Museum Keris A</t>
  </si>
  <si>
    <t>Halte Museum Keris B</t>
  </si>
  <si>
    <t>KM</t>
  </si>
  <si>
    <t>0.8</t>
  </si>
  <si>
    <t>Stasiun Solo Balapan A</t>
  </si>
  <si>
    <t>Stasiun Solo Balapan B</t>
  </si>
  <si>
    <t>Pasar Gede A</t>
  </si>
  <si>
    <t>Pasar Gede B</t>
  </si>
  <si>
    <t>Gladag A</t>
  </si>
  <si>
    <t>Gladag B</t>
  </si>
  <si>
    <t>Pasar Pon A</t>
  </si>
  <si>
    <t>Pasar Pon B</t>
  </si>
  <si>
    <t>Ngapeman A</t>
  </si>
  <si>
    <t>Ngapeman B</t>
  </si>
  <si>
    <t>Sriwedari 1 A</t>
  </si>
  <si>
    <t>Sriwedari 1 B</t>
  </si>
  <si>
    <t>MINUTES</t>
  </si>
  <si>
    <t>Stasiun Solo Balapan (Berangkat)</t>
  </si>
  <si>
    <t>Stasiun Solo Balapan (Pulang)</t>
  </si>
  <si>
    <t>Koordinat x</t>
  </si>
  <si>
    <t>Koordinat y</t>
  </si>
  <si>
    <t>Stasiun Solo Balapan (Depart)</t>
  </si>
  <si>
    <t>Stasiun Solo Balapan (Return)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</si>
</sst>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:&quot;ss"/>
    <numFmt numFmtId="165" formatCode="[$Rp]#,##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164" fontId="2" fillId="0" borderId="12" xfId="0" applyNumberFormat="1" applyFont="1" applyBorder="1" applyAlignment="1">
      <alignment wrapText="1"/>
    </xf>
    <xf numFmtId="165" fontId="2" fillId="0" borderId="13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9"/>
  <sheetViews>
    <sheetView tabSelected="1" zoomScale="70" zoomScaleNormal="70" workbookViewId="0">
      <selection activeCell="G1" sqref="G1"/>
    </sheetView>
  </sheetViews>
  <sheetFormatPr defaultColWidth="12.5703125" defaultRowHeight="15.75" customHeight="1" x14ac:dyDescent="0.2"/>
  <cols>
    <col min="1" max="1" width="21.140625" customWidth="1"/>
    <col min="5" max="5" width="14.5703125" customWidth="1"/>
  </cols>
  <sheetData>
    <row r="1" spans="1:26" ht="33.75" customHeight="1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70</v>
      </c>
      <c r="H1" s="4" t="s">
        <v>71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thickTop="1" x14ac:dyDescent="0.2">
      <c r="A2" s="5" t="s">
        <v>72</v>
      </c>
      <c r="B2" s="6">
        <v>4.4000000000000004</v>
      </c>
      <c r="C2" s="7">
        <v>0.16666666666666666</v>
      </c>
      <c r="D2" s="7">
        <v>0.875</v>
      </c>
      <c r="E2" s="6">
        <v>15</v>
      </c>
      <c r="F2" s="8">
        <v>4000</v>
      </c>
      <c r="G2" s="4">
        <v>-7.5570144083259896</v>
      </c>
      <c r="H2" s="4">
        <v>110.82137900722999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x14ac:dyDescent="0.2">
      <c r="A3" s="5" t="s">
        <v>6</v>
      </c>
      <c r="B3" s="6">
        <v>4.7</v>
      </c>
      <c r="C3" s="7">
        <v>0.33333333333333331</v>
      </c>
      <c r="D3" s="7">
        <v>0.66666666666666663</v>
      </c>
      <c r="E3" s="6">
        <v>30</v>
      </c>
      <c r="F3" s="8">
        <v>5000</v>
      </c>
      <c r="G3" s="4">
        <v>-7.5669819899974202</v>
      </c>
      <c r="H3" s="4">
        <v>110.80952191935501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5" x14ac:dyDescent="0.2">
      <c r="A4" s="9" t="s">
        <v>7</v>
      </c>
      <c r="B4" s="10">
        <v>4.7</v>
      </c>
      <c r="C4" s="7">
        <v>0.33333333333333331</v>
      </c>
      <c r="D4" s="7">
        <v>0.66666666666666663</v>
      </c>
      <c r="E4" s="10">
        <v>60</v>
      </c>
      <c r="F4" s="11">
        <v>10000</v>
      </c>
      <c r="G4" s="4">
        <v>-7.5690196753699697</v>
      </c>
      <c r="H4" s="4">
        <v>110.810963161402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.5" x14ac:dyDescent="0.2">
      <c r="A5" s="9" t="s">
        <v>8</v>
      </c>
      <c r="B5" s="10">
        <v>4.5999999999999996</v>
      </c>
      <c r="C5" s="7">
        <v>0.79166666666666663</v>
      </c>
      <c r="D5" s="7">
        <v>0.95833333333333337</v>
      </c>
      <c r="E5" s="10">
        <v>60</v>
      </c>
      <c r="F5" s="11">
        <v>10000</v>
      </c>
      <c r="G5" s="4">
        <v>-7.56938246949621</v>
      </c>
      <c r="H5" s="4">
        <v>110.812505351281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x14ac:dyDescent="0.2">
      <c r="A6" s="9" t="s">
        <v>9</v>
      </c>
      <c r="B6" s="10">
        <v>4.7</v>
      </c>
      <c r="C6" s="7">
        <v>0.375</v>
      </c>
      <c r="D6" s="7">
        <v>0.70833333333333337</v>
      </c>
      <c r="E6" s="10">
        <v>30</v>
      </c>
      <c r="F6" s="11">
        <v>35000</v>
      </c>
      <c r="G6" s="4">
        <v>-7.5687534176839</v>
      </c>
      <c r="H6" s="4">
        <v>110.816341244649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2">
      <c r="A7" s="9" t="s">
        <v>10</v>
      </c>
      <c r="B7" s="10">
        <v>4.7</v>
      </c>
      <c r="C7" s="7">
        <v>0.375</v>
      </c>
      <c r="D7" s="7">
        <v>0.60416666666666663</v>
      </c>
      <c r="E7" s="10">
        <v>90</v>
      </c>
      <c r="F7" s="11">
        <v>30000</v>
      </c>
      <c r="G7" s="4">
        <v>-7.5667624571688998</v>
      </c>
      <c r="H7" s="4">
        <v>110.823073644107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5.5" x14ac:dyDescent="0.2">
      <c r="A8" s="9" t="s">
        <v>11</v>
      </c>
      <c r="B8" s="10">
        <v>4.7</v>
      </c>
      <c r="C8" s="7">
        <v>0.375</v>
      </c>
      <c r="D8" s="7">
        <v>0.75</v>
      </c>
      <c r="E8" s="10">
        <v>60</v>
      </c>
      <c r="F8" s="11">
        <v>20000</v>
      </c>
      <c r="G8" s="4">
        <v>-7.5733852997520499</v>
      </c>
      <c r="H8" s="4">
        <v>110.826306455501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2">
      <c r="A9" s="9" t="s">
        <v>12</v>
      </c>
      <c r="B9" s="10">
        <v>4.5999999999999996</v>
      </c>
      <c r="C9" s="7">
        <v>0</v>
      </c>
      <c r="D9" s="7">
        <v>0.95833333333333337</v>
      </c>
      <c r="E9" s="10">
        <v>45</v>
      </c>
      <c r="F9" s="11">
        <v>30000</v>
      </c>
      <c r="G9" s="4">
        <v>-7.5693340736853703</v>
      </c>
      <c r="H9" s="4">
        <v>110.831616368821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2">
      <c r="A10" s="9" t="s">
        <v>13</v>
      </c>
      <c r="B10" s="10">
        <v>4.8</v>
      </c>
      <c r="C10" s="7">
        <v>0.41666666666666669</v>
      </c>
      <c r="D10" s="7">
        <v>0.95833333333333337</v>
      </c>
      <c r="E10" s="10">
        <v>60</v>
      </c>
      <c r="F10" s="11">
        <v>50000</v>
      </c>
      <c r="G10" s="4">
        <v>-7.5577058550950396</v>
      </c>
      <c r="H10" s="4">
        <v>110.795763836585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x14ac:dyDescent="0.2">
      <c r="A11" s="9" t="s">
        <v>14</v>
      </c>
      <c r="B11" s="10">
        <v>4.7</v>
      </c>
      <c r="C11" s="7">
        <v>0.60416666666666663</v>
      </c>
      <c r="D11" s="7">
        <v>0.875</v>
      </c>
      <c r="E11" s="10">
        <v>40</v>
      </c>
      <c r="F11" s="11">
        <v>5000</v>
      </c>
      <c r="G11" s="4">
        <v>-7.55469109736842</v>
      </c>
      <c r="H11" s="4">
        <v>110.82678444675101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9" t="s">
        <v>15</v>
      </c>
      <c r="B12" s="10">
        <v>4.0999999999999996</v>
      </c>
      <c r="C12" s="7">
        <v>0.35416666666666669</v>
      </c>
      <c r="D12" s="7">
        <v>0.6875</v>
      </c>
      <c r="E12" s="10">
        <v>90</v>
      </c>
      <c r="F12" s="11">
        <v>55000</v>
      </c>
      <c r="G12" s="4">
        <v>-7.5646568561976304</v>
      </c>
      <c r="H12" s="4">
        <v>110.85859760300799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9" t="s">
        <v>16</v>
      </c>
      <c r="B13" s="10">
        <v>4.5999999999999996</v>
      </c>
      <c r="C13" s="7">
        <v>0.375</v>
      </c>
      <c r="D13" s="7">
        <v>0.66666666666666663</v>
      </c>
      <c r="E13" s="10">
        <v>30</v>
      </c>
      <c r="F13" s="11">
        <v>5000</v>
      </c>
      <c r="G13" s="4">
        <v>-7.5691222571899797</v>
      </c>
      <c r="H13" s="4">
        <v>110.822598244105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thickBot="1" x14ac:dyDescent="0.25">
      <c r="A14" s="12" t="s">
        <v>17</v>
      </c>
      <c r="B14" s="13">
        <v>4.7</v>
      </c>
      <c r="C14" s="14">
        <v>0.70833333333333337</v>
      </c>
      <c r="D14" s="19">
        <v>0.95833333333333337</v>
      </c>
      <c r="E14" s="13">
        <v>45</v>
      </c>
      <c r="F14" s="15">
        <v>30000</v>
      </c>
      <c r="G14" s="4">
        <v>-7.5716391475740199</v>
      </c>
      <c r="H14" s="4">
        <v>110.821528137115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.25" thickTop="1" x14ac:dyDescent="0.2">
      <c r="A15" s="5" t="s">
        <v>73</v>
      </c>
      <c r="B15" s="6">
        <v>4.4000000000000004</v>
      </c>
      <c r="C15" s="7">
        <v>0.16666666666666666</v>
      </c>
      <c r="D15" s="7">
        <v>0.875</v>
      </c>
      <c r="E15" s="6">
        <v>15</v>
      </c>
      <c r="F15" s="8">
        <v>4000</v>
      </c>
      <c r="G15" s="4">
        <v>-7.5570144083259896</v>
      </c>
      <c r="H15" s="4">
        <v>110.82137900722999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>
      <selection activeCell="G6" sqref="G6"/>
    </sheetView>
  </sheetViews>
  <sheetFormatPr defaultColWidth="12.5703125" defaultRowHeight="15.75" customHeight="1" x14ac:dyDescent="0.2"/>
  <cols>
    <col min="1" max="1" width="17.42578125" customWidth="1"/>
  </cols>
  <sheetData>
    <row r="1" spans="1:26" x14ac:dyDescent="0.2">
      <c r="A1" s="16" t="s">
        <v>18</v>
      </c>
      <c r="B1" s="16" t="s">
        <v>19</v>
      </c>
      <c r="C1" s="16" t="s">
        <v>20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16" t="str">
        <f>F_ab!A2</f>
        <v>Stasiun Solo Balapan A</v>
      </c>
      <c r="B2" s="16" t="s">
        <v>21</v>
      </c>
      <c r="C2" s="16" t="s">
        <v>21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A3" s="16" t="str">
        <f>F_ab!A3</f>
        <v>Stasiun Solo Balapan B</v>
      </c>
      <c r="B3" s="16" t="s">
        <v>21</v>
      </c>
      <c r="C3" s="16" t="s">
        <v>21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">
      <c r="A4" s="16" t="e">
        <f>F_ab!#REF!</f>
        <v>#REF!</v>
      </c>
      <c r="B4" s="16" t="s">
        <v>21</v>
      </c>
      <c r="C4" s="16" t="s">
        <v>21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">
      <c r="A5" s="16" t="str">
        <f>F_ab!A4</f>
        <v>Halte Viaduk Selatan</v>
      </c>
      <c r="B5" s="16" t="s">
        <v>22</v>
      </c>
      <c r="C5" s="16" t="s">
        <v>22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16" t="str">
        <f>F_ab!A5</f>
        <v>Halte Viaduk Gilingan</v>
      </c>
      <c r="B6" s="16" t="s">
        <v>22</v>
      </c>
      <c r="C6" s="16" t="s">
        <v>22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">
      <c r="A7" s="16" t="e">
        <f>F_ab!#REF!</f>
        <v>#REF!</v>
      </c>
      <c r="B7" s="16" t="s">
        <v>23</v>
      </c>
      <c r="C7" s="16" t="s">
        <v>23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">
      <c r="A8" s="16" t="e">
        <f>F_ab!#REF!</f>
        <v>#REF!</v>
      </c>
      <c r="B8" s="16" t="s">
        <v>22</v>
      </c>
      <c r="C8" s="16" t="s">
        <v>24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">
      <c r="A9" s="16" t="str">
        <f>F_ab!A6</f>
        <v>Halte Jurug 1</v>
      </c>
      <c r="B9" s="16" t="s">
        <v>22</v>
      </c>
      <c r="C9" s="16" t="s">
        <v>22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6" t="e">
        <f>F_ab!#REF!</f>
        <v>#REF!</v>
      </c>
      <c r="B10" s="16" t="s">
        <v>25</v>
      </c>
      <c r="C10" s="16" t="s">
        <v>26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6" t="e">
        <f>F_ab!#REF!</f>
        <v>#REF!</v>
      </c>
      <c r="B11" s="16" t="s">
        <v>25</v>
      </c>
      <c r="C11" s="16" t="s">
        <v>25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 t="str">
        <f>F_ab!A7</f>
        <v>Halte Jurug 2</v>
      </c>
      <c r="B12" s="16" t="s">
        <v>22</v>
      </c>
      <c r="C12" s="16" t="s">
        <v>27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 t="e">
        <f>F_ab!#REF!</f>
        <v>#REF!</v>
      </c>
      <c r="B13" s="16" t="s">
        <v>21</v>
      </c>
      <c r="C13" s="16" t="s">
        <v>26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 t="e">
        <f>F_ab!#REF!</f>
        <v>#REF!</v>
      </c>
      <c r="B14" s="16" t="s">
        <v>28</v>
      </c>
      <c r="C14" s="16" t="s">
        <v>29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 t="e">
        <f>F_ab!#REF!</f>
        <v>#REF!</v>
      </c>
      <c r="B15" s="16" t="s">
        <v>30</v>
      </c>
      <c r="C15" s="16" t="s">
        <v>31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 t="e">
        <f>F_ab!#REF!</f>
        <v>#REF!</v>
      </c>
      <c r="B16" s="16" t="s">
        <v>32</v>
      </c>
      <c r="C16" s="16" t="s">
        <v>33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 t="e">
        <f>F_ab!#REF!</f>
        <v>#REF!</v>
      </c>
      <c r="B17" s="16" t="s">
        <v>25</v>
      </c>
      <c r="C17" s="16" t="s">
        <v>34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 t="e">
        <f>F_ab!#REF!</f>
        <v>#REF!</v>
      </c>
      <c r="B18" s="16" t="s">
        <v>28</v>
      </c>
      <c r="C18" s="16" t="s">
        <v>35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 t="e">
        <f>F_ab!#REF!</f>
        <v>#REF!</v>
      </c>
      <c r="B19" s="16" t="s">
        <v>28</v>
      </c>
      <c r="C19" s="16" t="s">
        <v>36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6" t="e">
        <f>F_ab!#REF!</f>
        <v>#REF!</v>
      </c>
      <c r="B20" s="16" t="s">
        <v>37</v>
      </c>
      <c r="C20" s="16" t="s">
        <v>29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A21" s="16" t="str">
        <f>F_ab!A8</f>
        <v>Pasar Gede A</v>
      </c>
      <c r="B21" s="16" t="s">
        <v>37</v>
      </c>
      <c r="C21" s="16" t="s">
        <v>29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">
      <c r="A22" s="16" t="str">
        <f>F_ab!A9</f>
        <v>Pasar Gede B</v>
      </c>
      <c r="B22" s="16" t="s">
        <v>32</v>
      </c>
      <c r="C22" s="16" t="s">
        <v>29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">
      <c r="A23" s="16" t="str">
        <f>F_ab!A10</f>
        <v>Halte Pasar Klewer</v>
      </c>
      <c r="B23" s="16" t="s">
        <v>30</v>
      </c>
      <c r="C23" s="16" t="s">
        <v>38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2">
      <c r="A24" s="16" t="str">
        <f>F_ab!A11</f>
        <v>Gladag A</v>
      </c>
      <c r="B24" s="16" t="s">
        <v>25</v>
      </c>
      <c r="C24" s="16" t="s">
        <v>25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">
      <c r="A25" s="16" t="str">
        <f>F_ab!A12</f>
        <v>Gladag B</v>
      </c>
      <c r="B25" s="16" t="s">
        <v>32</v>
      </c>
      <c r="C25" s="16" t="s">
        <v>39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">
      <c r="A26" s="16" t="e">
        <f>F_ab!#REF!</f>
        <v>#REF!</v>
      </c>
      <c r="B26" s="16" t="s">
        <v>37</v>
      </c>
      <c r="C26" s="16" t="s">
        <v>31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">
      <c r="A27" s="16" t="e">
        <f>F_ab!#REF!</f>
        <v>#REF!</v>
      </c>
      <c r="B27" s="16" t="s">
        <v>23</v>
      </c>
      <c r="C27" s="16" t="s">
        <v>23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">
      <c r="A28" s="16" t="str">
        <f>F_ab!A13</f>
        <v>Pasar Pon A</v>
      </c>
      <c r="B28" s="16" t="s">
        <v>25</v>
      </c>
      <c r="C28" s="16" t="s">
        <v>25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2">
      <c r="A29" s="16" t="str">
        <f>F_ab!A14</f>
        <v>Pasar Pon B</v>
      </c>
      <c r="B29" s="16" t="s">
        <v>25</v>
      </c>
      <c r="C29" s="16" t="s">
        <v>40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2">
      <c r="A30" s="16" t="e">
        <f>F_ab!#REF!</f>
        <v>#REF!</v>
      </c>
      <c r="B30" s="16" t="s">
        <v>37</v>
      </c>
      <c r="C30" s="16" t="s">
        <v>37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">
      <c r="A31" s="16" t="str">
        <f>F_ab!A15</f>
        <v>Ngapeman A</v>
      </c>
      <c r="B31" s="16" t="s">
        <v>25</v>
      </c>
      <c r="C31" s="16" t="s">
        <v>41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2">
      <c r="A32" s="16" t="str">
        <f>F_ab!A16</f>
        <v>Ngapeman B</v>
      </c>
      <c r="B32" s="16" t="s">
        <v>25</v>
      </c>
      <c r="C32" s="16" t="s">
        <v>41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2">
      <c r="A33" s="16" t="e">
        <f>F_ab!#REF!</f>
        <v>#REF!</v>
      </c>
      <c r="B33" s="16" t="s">
        <v>42</v>
      </c>
      <c r="C33" s="16" t="s">
        <v>41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2">
      <c r="A34" s="16" t="e">
        <f>F_ab!#REF!</f>
        <v>#REF!</v>
      </c>
      <c r="B34" s="16" t="s">
        <v>43</v>
      </c>
      <c r="C34" s="16" t="s">
        <v>44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2">
      <c r="A35" s="16" t="str">
        <f>F_ab!A17</f>
        <v>Kelurahan Sri Wedari</v>
      </c>
      <c r="B35" s="16" t="s">
        <v>30</v>
      </c>
      <c r="C35" s="16" t="s">
        <v>30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">
      <c r="A36" s="16" t="str">
        <f>F_ab!A18</f>
        <v>Halte Museum Keris A</v>
      </c>
      <c r="B36" s="16" t="s">
        <v>42</v>
      </c>
      <c r="C36" s="16" t="s">
        <v>42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">
      <c r="A37" s="16" t="str">
        <f>F_ab!A19</f>
        <v>Halte Museum Keris B</v>
      </c>
      <c r="B37" s="16" t="s">
        <v>42</v>
      </c>
      <c r="C37" s="16" t="s">
        <v>42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2">
      <c r="A38" s="16" t="str">
        <f>F_ab!A20</f>
        <v>Sriwedari 1 A</v>
      </c>
      <c r="B38" s="16" t="s">
        <v>43</v>
      </c>
      <c r="C38" s="16" t="s">
        <v>44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2">
      <c r="A39" s="16" t="str">
        <f>F_ab!A21</f>
        <v>Sriwedari 1 B</v>
      </c>
      <c r="B39" s="16" t="s">
        <v>43</v>
      </c>
      <c r="C39" s="16" t="s">
        <v>41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2">
      <c r="A40" s="16">
        <f>F_ab!A22</f>
        <v>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2">
      <c r="A41" s="16">
        <f>F_ab!A23</f>
        <v>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2">
      <c r="A42" s="16">
        <f>F_ab!A24</f>
        <v>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2">
      <c r="A43" s="16">
        <f>F_ab!A25</f>
        <v>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2">
      <c r="A44" s="16">
        <f>F_ab!A26</f>
        <v>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1"/>
  <sheetViews>
    <sheetView workbookViewId="0">
      <pane xSplit="1" ySplit="1" topLeftCell="K16" activePane="bottomRight" state="frozen"/>
      <selection pane="topRight" activeCell="B1" sqref="B1"/>
      <selection pane="bottomLeft" activeCell="A2" sqref="A2"/>
      <selection pane="bottomRight" activeCell="R25" sqref="R25"/>
    </sheetView>
  </sheetViews>
  <sheetFormatPr defaultColWidth="12.5703125" defaultRowHeight="15.75" customHeight="1" x14ac:dyDescent="0.2"/>
  <cols>
    <col min="1" max="21" width="19.42578125" customWidth="1"/>
  </cols>
  <sheetData>
    <row r="1" spans="1:21" ht="31.5" customHeight="1" thickBot="1" x14ac:dyDescent="0.25">
      <c r="A1" s="16"/>
      <c r="B1" s="16" t="s">
        <v>55</v>
      </c>
      <c r="C1" s="16" t="s">
        <v>56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57</v>
      </c>
      <c r="I1" s="16" t="s">
        <v>58</v>
      </c>
      <c r="J1" s="16" t="s">
        <v>49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50</v>
      </c>
      <c r="R1" s="16" t="s">
        <v>51</v>
      </c>
      <c r="S1" s="16" t="s">
        <v>52</v>
      </c>
      <c r="T1" s="16" t="s">
        <v>65</v>
      </c>
      <c r="U1" s="16" t="s">
        <v>66</v>
      </c>
    </row>
    <row r="2" spans="1:21" ht="31.5" customHeight="1" thickBot="1" x14ac:dyDescent="0.25">
      <c r="A2" s="16" t="s">
        <v>55</v>
      </c>
      <c r="B2" s="18">
        <v>0</v>
      </c>
      <c r="C2" s="18">
        <v>0</v>
      </c>
      <c r="D2" s="18">
        <v>0</v>
      </c>
      <c r="E2" s="18">
        <v>0</v>
      </c>
      <c r="F2" s="18">
        <v>1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</row>
    <row r="3" spans="1:21" ht="31.5" customHeight="1" thickBot="1" x14ac:dyDescent="0.25">
      <c r="A3" s="16" t="s">
        <v>56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</row>
    <row r="4" spans="1:21" ht="31.5" customHeight="1" thickBot="1" x14ac:dyDescent="0.25">
      <c r="A4" s="16" t="s">
        <v>45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</row>
    <row r="5" spans="1:21" ht="31.5" customHeight="1" thickBot="1" x14ac:dyDescent="0.25">
      <c r="A5" s="16" t="s">
        <v>46</v>
      </c>
      <c r="B5" s="18">
        <v>0</v>
      </c>
      <c r="C5" s="18">
        <v>0</v>
      </c>
      <c r="D5" s="18">
        <v>0</v>
      </c>
      <c r="E5" s="18">
        <v>0</v>
      </c>
      <c r="F5" s="18">
        <v>1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</row>
    <row r="6" spans="1:21" ht="31.5" customHeight="1" thickBot="1" x14ac:dyDescent="0.25">
      <c r="A6" s="16" t="s">
        <v>47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</row>
    <row r="7" spans="1:21" ht="31.5" customHeight="1" thickBot="1" x14ac:dyDescent="0.25">
      <c r="A7" s="16" t="s">
        <v>48</v>
      </c>
      <c r="B7" s="18">
        <v>0</v>
      </c>
      <c r="C7" s="18">
        <v>1</v>
      </c>
      <c r="D7" s="18">
        <v>1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1</v>
      </c>
      <c r="L7" s="18">
        <v>0</v>
      </c>
      <c r="M7" s="18">
        <v>1</v>
      </c>
      <c r="N7" s="18">
        <v>0</v>
      </c>
      <c r="O7" s="18">
        <v>0</v>
      </c>
      <c r="P7" s="18">
        <v>1</v>
      </c>
      <c r="Q7" s="18">
        <v>0</v>
      </c>
      <c r="R7" s="18">
        <v>0</v>
      </c>
      <c r="S7" s="18">
        <v>0</v>
      </c>
      <c r="T7" s="18">
        <v>0</v>
      </c>
      <c r="U7" s="18">
        <v>1</v>
      </c>
    </row>
    <row r="8" spans="1:21" ht="31.5" customHeight="1" thickBot="1" x14ac:dyDescent="0.25">
      <c r="A8" s="16" t="s">
        <v>57</v>
      </c>
      <c r="B8" s="18">
        <v>0</v>
      </c>
      <c r="C8" s="18">
        <v>0</v>
      </c>
      <c r="D8" s="18">
        <v>0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</row>
    <row r="9" spans="1:21" ht="31.5" customHeight="1" thickBot="1" x14ac:dyDescent="0.25">
      <c r="A9" s="16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</row>
    <row r="10" spans="1:21" ht="31.5" customHeight="1" thickBot="1" x14ac:dyDescent="0.25">
      <c r="A10" s="16" t="s">
        <v>49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</v>
      </c>
      <c r="R10" s="18">
        <v>0</v>
      </c>
      <c r="S10" s="18">
        <v>0</v>
      </c>
      <c r="T10" s="18">
        <v>0</v>
      </c>
      <c r="U10" s="18">
        <v>0</v>
      </c>
    </row>
    <row r="11" spans="1:21" ht="31.5" customHeight="1" thickBot="1" x14ac:dyDescent="0.25">
      <c r="A11" s="16" t="s">
        <v>59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1</v>
      </c>
      <c r="N11" s="18">
        <v>0</v>
      </c>
      <c r="O11" s="18">
        <v>0</v>
      </c>
      <c r="P11" s="18">
        <v>1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</row>
    <row r="12" spans="1:21" ht="31.5" customHeight="1" thickBot="1" x14ac:dyDescent="0.25">
      <c r="A12" s="16" t="s">
        <v>60</v>
      </c>
      <c r="B12" s="18">
        <v>0</v>
      </c>
      <c r="C12" s="18">
        <v>0</v>
      </c>
      <c r="D12" s="18">
        <v>0</v>
      </c>
      <c r="E12" s="18">
        <v>0</v>
      </c>
      <c r="F12" s="18">
        <v>1</v>
      </c>
      <c r="G12" s="18">
        <v>0</v>
      </c>
      <c r="H12" s="18">
        <v>1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</row>
    <row r="13" spans="1:21" ht="31.5" customHeight="1" thickBot="1" x14ac:dyDescent="0.25">
      <c r="A13" s="16" t="s">
        <v>61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31.5" customHeight="1" thickBot="1" x14ac:dyDescent="0.25">
      <c r="A14" s="16" t="s">
        <v>62</v>
      </c>
      <c r="B14" s="18">
        <v>0</v>
      </c>
      <c r="C14" s="18">
        <v>0</v>
      </c>
      <c r="D14" s="18">
        <v>0</v>
      </c>
      <c r="E14" s="18">
        <v>0</v>
      </c>
      <c r="F14" s="18">
        <v>1</v>
      </c>
      <c r="G14" s="18">
        <v>0</v>
      </c>
      <c r="H14" s="18">
        <v>1</v>
      </c>
      <c r="I14" s="18">
        <v>0</v>
      </c>
      <c r="J14" s="18">
        <v>0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31.5" customHeight="1" thickBot="1" x14ac:dyDescent="0.25">
      <c r="A15" s="16" t="s">
        <v>63</v>
      </c>
      <c r="B15" s="18">
        <v>0</v>
      </c>
      <c r="C15" s="18">
        <v>0</v>
      </c>
      <c r="D15" s="18">
        <v>0</v>
      </c>
      <c r="E15" s="18">
        <v>0</v>
      </c>
      <c r="F15" s="18">
        <v>1</v>
      </c>
      <c r="G15" s="18">
        <v>0</v>
      </c>
      <c r="H15" s="18">
        <v>1</v>
      </c>
      <c r="I15" s="18">
        <v>0</v>
      </c>
      <c r="J15" s="18">
        <v>0</v>
      </c>
      <c r="K15" s="18">
        <v>0</v>
      </c>
      <c r="L15" s="18">
        <v>1</v>
      </c>
      <c r="M15" s="18">
        <v>0</v>
      </c>
      <c r="N15" s="18">
        <v>1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31.5" customHeight="1" thickBot="1" x14ac:dyDescent="0.25">
      <c r="A16" s="16" t="s">
        <v>64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1</v>
      </c>
    </row>
    <row r="17" spans="1:21" ht="31.5" customHeight="1" thickBot="1" x14ac:dyDescent="0.25">
      <c r="A17" s="16" t="s">
        <v>50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31.5" customHeight="1" thickBot="1" x14ac:dyDescent="0.25">
      <c r="A18" s="16" t="s">
        <v>51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ht="31.5" customHeight="1" thickBot="1" x14ac:dyDescent="0.25">
      <c r="A19" s="16" t="s">
        <v>52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1</v>
      </c>
      <c r="P19" s="18">
        <v>0</v>
      </c>
      <c r="Q19" s="18">
        <v>0</v>
      </c>
      <c r="R19" s="18">
        <v>0</v>
      </c>
      <c r="S19" s="18">
        <v>0</v>
      </c>
      <c r="T19" s="18">
        <v>1</v>
      </c>
      <c r="U19" s="18">
        <v>0</v>
      </c>
    </row>
    <row r="20" spans="1:21" ht="31.5" customHeight="1" thickBot="1" x14ac:dyDescent="0.25">
      <c r="A20" s="16" t="s">
        <v>65</v>
      </c>
      <c r="B20" s="18">
        <v>0</v>
      </c>
      <c r="C20" s="18">
        <v>0</v>
      </c>
      <c r="D20" s="18">
        <v>0</v>
      </c>
      <c r="E20" s="18">
        <v>0</v>
      </c>
      <c r="F20" s="18">
        <v>1</v>
      </c>
      <c r="G20" s="18">
        <v>0</v>
      </c>
      <c r="H20" s="18">
        <v>1</v>
      </c>
      <c r="I20" s="18">
        <v>0</v>
      </c>
      <c r="J20" s="18">
        <v>1</v>
      </c>
      <c r="K20" s="18">
        <v>0</v>
      </c>
      <c r="L20" s="18">
        <v>1</v>
      </c>
      <c r="M20" s="18">
        <v>0</v>
      </c>
      <c r="N20" s="18">
        <v>1</v>
      </c>
      <c r="O20" s="18">
        <v>1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</row>
    <row r="21" spans="1:21" ht="31.5" customHeight="1" thickBot="1" x14ac:dyDescent="0.25">
      <c r="A21" s="16" t="s">
        <v>66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1</v>
      </c>
      <c r="S21" s="18">
        <v>0</v>
      </c>
      <c r="T21" s="18">
        <v>0</v>
      </c>
      <c r="U21" s="18">
        <v>0</v>
      </c>
    </row>
    <row r="22" spans="1:21" ht="12.75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21" ht="12.7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21" ht="12.7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21" ht="12.7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21" ht="12.7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21" ht="12.7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21" ht="12.7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21" ht="12.7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21" ht="12.7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21" ht="12.7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21" ht="12.7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2.7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2.7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2.7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2.7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2.7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2.7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12.7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2.7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2.7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2.7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2.7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2.7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2.7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2.7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2.7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2.7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2.7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2.7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2.7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2.7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2.7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spans="1:12" ht="12.7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 ht="12.7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 ht="12.7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12.7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 ht="12.7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 ht="12.7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12.7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2" ht="12.7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2" ht="12.7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spans="1:12" ht="12.7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12.7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spans="1:12" ht="12.7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2" ht="12.7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spans="1:12" ht="12.7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2.7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12.7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12.7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2.7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 ht="12.7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1:12" ht="12.7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 ht="12.7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12.7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 ht="12.7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spans="1:12" ht="12.7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spans="1:12" ht="12.7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spans="1:12" ht="12.7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2" ht="12.7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 ht="12.7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ht="12.7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2.7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spans="1:12" ht="12.7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2.7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 ht="12.7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 ht="12.7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ht="12.7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ht="12.7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ht="12.7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2.7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spans="1:12" ht="12.7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spans="1:12" ht="12.7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spans="1:12" ht="12.7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spans="1:12" ht="12.7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ht="12.7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spans="1:12" ht="12.75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ht="12.75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1:12" ht="12.75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ht="12.75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2" ht="12.75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spans="1:12" ht="12.75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spans="1:12" ht="12.75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 ht="12.75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spans="1:12" ht="12.75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ht="12.75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1:12" ht="12.75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spans="1:12" ht="12.75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spans="1:12" ht="12.75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spans="1:12" ht="12.75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 ht="12.75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1:12" ht="12.75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1:12" ht="12.75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1:12" ht="12.75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1:12" ht="12.75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 ht="12.75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 ht="12.75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2" ht="12.75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spans="1:12" ht="12.75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spans="1:12" ht="12.75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spans="1:12" ht="12.75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spans="1:12" ht="12.75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spans="1:12" ht="12.75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spans="1:12" ht="12.75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spans="1:12" ht="12.75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1:12" ht="12.75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spans="1:12" ht="12.75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spans="1:12" ht="12.75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spans="1:12" ht="12.75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spans="1:12" ht="12.75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spans="1:12" ht="12.75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spans="1:12" ht="12.75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spans="1:12" ht="12.75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 ht="12.75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spans="1:12" ht="12.75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2" ht="12.75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spans="1:12" ht="12.75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spans="1:12" ht="12.75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spans="1:12" ht="12.75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spans="1:12" ht="12.75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1:12" ht="12.75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1:12" ht="12.75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spans="1:12" ht="12.75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spans="1:12" ht="12.75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spans="1:12" ht="12.75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spans="1:12" ht="12.75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spans="1:12" ht="12.75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spans="1:12" ht="12.75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spans="1:12" ht="12.75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spans="1:12" ht="12.75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spans="1:12" ht="12.75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2" ht="12.75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1:12" ht="12.75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spans="1:12" ht="12.75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spans="1:12" ht="12.75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spans="1:12" ht="12.75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spans="1:12" ht="12.75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spans="1:12" ht="12.75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1:12" ht="12.75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2" ht="12.75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spans="1:12" ht="12.75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spans="1:12" ht="12.75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spans="1:12" ht="12.75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spans="1:12" ht="12.75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spans="1:12" ht="12.75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spans="1:12" ht="12.75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spans="1:12" ht="12.75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spans="1:12" ht="12.75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spans="1:12" ht="12.75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spans="1:12" ht="12.75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spans="1:12" ht="12.75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spans="1:12" ht="12.75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spans="1:12" ht="12.75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spans="1:12" ht="12.75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spans="1:12" ht="12.75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spans="1:12" ht="12.75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spans="1:12" ht="12.75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spans="1:12" ht="12.75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spans="1:12" ht="12.75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spans="1:12" ht="12.75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spans="1:12" ht="12.75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spans="1:12" ht="12.75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spans="1:12" ht="12.75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spans="1:12" ht="12.75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spans="1:12" ht="12.75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spans="1:12" ht="12.75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spans="1:12" ht="12.75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spans="1:12" ht="12.75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spans="1:12" ht="12.75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spans="1:12" ht="12.75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spans="1:12" ht="12.75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spans="1:12" ht="12.75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spans="1:12" ht="12.75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spans="1:12" ht="12.75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spans="1:12" ht="12.75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spans="1:12" ht="12.75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spans="1:12" ht="12.75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spans="1:12" ht="12.75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spans="1:12" ht="12.75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spans="1:12" ht="12.75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spans="1:12" ht="12.75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spans="1:12" ht="12.75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spans="1:12" ht="12.75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spans="1:12" ht="12.75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spans="1:12" ht="12.75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spans="1:12" ht="12.75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spans="1:12" ht="12.75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spans="1:12" ht="12.75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spans="1:12" ht="12.75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spans="1:12" ht="12.75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spans="1:12" ht="12.75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ht="12.75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ht="12.75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spans="1:12" ht="12.75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spans="1:12" ht="12.75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spans="1:12" ht="12.75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spans="1:12" ht="12.75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spans="1:12" ht="12.75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spans="1:12" ht="12.75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spans="1:12" ht="12.75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spans="1:12" ht="12.75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spans="1:12" ht="12.75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spans="1:12" ht="12.75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spans="1:12" ht="12.75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spans="1:12" ht="12.75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spans="1:12" ht="12.75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spans="1:12" ht="12.75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spans="1:12" ht="12.75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spans="1:12" ht="12.75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spans="1:12" ht="12.75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1:12" ht="12.75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spans="1:12" ht="12.75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spans="1:12" ht="12.75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spans="1:12" ht="12.75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spans="1:12" ht="12.75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spans="1:12" ht="12.75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spans="1:12" ht="12.75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spans="1:12" ht="12.75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spans="1:12" ht="12.75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1:12" ht="12.75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spans="1:12" ht="12.75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spans="1:12" ht="12.75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spans="1:12" ht="12.75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spans="1:12" ht="12.75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spans="1:12" ht="12.75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spans="1:12" ht="12.75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 ht="12.75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spans="1:12" ht="12.75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spans="1:12" ht="12.75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spans="1:12" ht="12.75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spans="1:12" ht="12.75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spans="1:12" ht="12.75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spans="1:12" ht="12.75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spans="1:12" ht="12.75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1:12" ht="12.75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spans="1:12" ht="12.75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spans="1:12" ht="12.75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spans="1:12" ht="12.75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spans="1:12" ht="12.75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spans="1:12" ht="12.75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spans="1:12" ht="12.75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1:12" ht="12.75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spans="1:12" ht="12.75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spans="1:12" ht="12.75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ht="12.75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ht="12.75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spans="1:12" ht="12.75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spans="1:12" ht="12.75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1:12" ht="12.75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spans="1:12" ht="12.75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spans="1:12" ht="12.75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spans="1:12" ht="12.75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spans="1:12" ht="12.75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spans="1:12" ht="12.75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spans="1:12" ht="12.75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spans="1:12" ht="12.75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spans="1:12" ht="12.75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spans="1:12" ht="12.75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spans="1:12" ht="12.75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1:12" ht="12.75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spans="1:12" ht="12.75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spans="1:12" ht="12.75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1:12" ht="12.75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1:12" ht="12.75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spans="1:12" ht="12.75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spans="1:12" ht="12.75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spans="1:12" ht="12.75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spans="1:12" ht="12.75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spans="1:12" ht="12.75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spans="1:12" ht="12.75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spans="1:12" ht="12.75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spans="1:12" ht="12.75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spans="1:12" ht="12.75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spans="1:12" ht="12.75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spans="1:12" ht="12.75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spans="1:12" ht="12.75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spans="1:12" ht="12.75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spans="1:12" ht="12.75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spans="1:12" ht="12.75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spans="1:12" ht="12.75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spans="1:12" ht="12.75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spans="1:12" ht="12.75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spans="1:12" ht="12.75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spans="1:12" ht="12.75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spans="1:12" ht="12.75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spans="1:12" ht="12.75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spans="1:12" ht="12.75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spans="1:12" ht="12.75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spans="1:12" ht="12.75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spans="1:12" ht="12.75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spans="1:12" ht="12.75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spans="1:12" ht="12.75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spans="1:12" ht="12.75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spans="1:12" ht="12.75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spans="1:12" ht="12.75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spans="1:12" ht="12.75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spans="1:12" ht="12.75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ht="12.75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ht="12.75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spans="1:12" ht="12.75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spans="1:12" ht="12.75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spans="1:12" ht="12.75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spans="1:12" ht="12.75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spans="1:12" ht="12.75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spans="1:12" ht="12.75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spans="1:12" ht="12.75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spans="1:12" ht="12.75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spans="1:12" ht="12.75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spans="1:12" ht="12.75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spans="1:12" ht="12.75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spans="1:12" ht="12.75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spans="1:12" ht="12.75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spans="1:12" ht="12.75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spans="1:12" ht="12.75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spans="1:12" ht="12.75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spans="1:12" ht="12.75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spans="1:12" ht="12.75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spans="1:12" ht="12.75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spans="1:12" ht="12.75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spans="1:12" ht="12.75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spans="1:12" ht="12.75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spans="1:12" ht="12.75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spans="1:12" ht="12.75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spans="1:12" ht="12.75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spans="1:12" ht="12.75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spans="1:12" ht="12.75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spans="1:12" ht="12.75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spans="1:12" ht="12.75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spans="1:12" ht="12.75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spans="1:12" ht="12.75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spans="1:12" ht="12.75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spans="1:12" ht="12.75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spans="1:12" ht="12.75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spans="1:12" ht="12.75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spans="1:12" ht="12.75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spans="1:12" ht="12.75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spans="1:12" ht="12.75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spans="1:12" ht="12.75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spans="1:12" ht="12.75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spans="1:12" ht="12.75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spans="1:12" ht="12.75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spans="1:12" ht="12.75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spans="1:12" ht="12.75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 spans="1:12" ht="12.75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spans="1:12" ht="12.75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 spans="1:12" ht="12.75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 spans="1:12" ht="12.75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spans="1:12" ht="12.75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 spans="1:12" ht="12.75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spans="1:12" ht="12.75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spans="1:12" ht="12.75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2" ht="12.75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 spans="1:12" ht="12.75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spans="1:12" ht="12.75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 spans="1:12" ht="12.75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spans="1:12" ht="12.75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 spans="1:12" ht="12.75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spans="1:12" ht="12.75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 spans="1:12" ht="12.75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 spans="1:12" ht="12.75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spans="1:12" ht="12.75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 spans="1:12" ht="12.75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spans="1:12" ht="12.75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 spans="1:12" ht="12.75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spans="1:12" ht="12.75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 spans="1:12" ht="12.75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spans="1:12" ht="12.75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 spans="1:12" ht="12.75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spans="1:12" ht="12.75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 spans="1:12" ht="12.75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spans="1:12" ht="12.75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 spans="1:12" ht="12.75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spans="1:12" ht="12.75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 spans="1:12" ht="12.75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 spans="1:12" ht="12.75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spans="1:12" ht="12.75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 spans="1:12" ht="12.75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spans="1:12" ht="12.75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 spans="1:12" ht="12.75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spans="1:12" ht="12.75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 spans="1:12" ht="12.75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spans="1:12" ht="12.75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 spans="1:12" ht="12.75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 spans="1:12" ht="12.75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spans="1:12" ht="12.75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 spans="1:12" ht="12.75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spans="1:12" ht="12.75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 spans="1:12" ht="12.75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spans="1:12" ht="12.75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 spans="1:12" ht="12.75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 spans="1:12" ht="12.75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 spans="1:12" ht="12.75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spans="1:12" ht="12.75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 spans="1:12" ht="12.75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spans="1:12" ht="12.75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 spans="1:12" ht="12.75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spans="1:12" ht="12.75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 spans="1:12" ht="12.75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spans="1:12" ht="12.75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 spans="1:12" ht="12.75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spans="1:12" ht="12.75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 spans="1:12" ht="12.75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spans="1:12" ht="12.75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spans="1:12" ht="12.75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2" ht="12.75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 spans="1:12" ht="12.75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 spans="1:12" ht="12.75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spans="1:12" ht="12.75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 spans="1:12" ht="12.75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spans="1:12" ht="12.75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 spans="1:12" ht="12.75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spans="1:12" ht="12.75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 spans="1:12" ht="12.75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spans="1:12" ht="12.75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 spans="1:12" ht="12.75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spans="1:12" ht="12.75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 spans="1:12" ht="12.75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spans="1:12" ht="12.75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 spans="1:12" ht="12.75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spans="1:12" ht="12.75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 spans="1:12" ht="12.75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spans="1:12" ht="12.75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 spans="1:12" ht="12.75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spans="1:12" ht="12.75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 spans="1:12" ht="12.75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spans="1:12" ht="12.75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 spans="1:12" ht="12.75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spans="1:12" ht="12.75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 spans="1:12" ht="12.75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spans="1:12" ht="12.75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 spans="1:12" ht="12.75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spans="1:12" ht="12.75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 spans="1:12" ht="12.75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spans="1:12" ht="12.75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 spans="1:12" ht="12.75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spans="1:12" ht="12.75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 spans="1:12" ht="12.75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spans="1:12" ht="12.75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 spans="1:12" ht="12.75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spans="1:12" ht="12.75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 spans="1:12" ht="12.75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spans="1:12" ht="12.75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 spans="1:12" ht="12.75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spans="1:12" ht="12.75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 spans="1:12" ht="12.75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spans="1:12" ht="12.75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 spans="1:12" ht="12.75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spans="1:12" ht="12.75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 spans="1:12" ht="12.75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spans="1:12" ht="12.75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 spans="1:12" ht="12.75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spans="1:12" ht="12.75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 spans="1:12" ht="12.75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 spans="1:12" ht="12.75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spans="1:12" ht="12.75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 spans="1:12" ht="12.75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2" ht="12.75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spans="1:12" ht="12.75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spans="1:12" ht="12.75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 spans="1:12" ht="12.75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spans="1:12" ht="12.75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 spans="1:12" ht="12.75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spans="1:12" ht="12.75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 spans="1:12" ht="12.75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spans="1:12" ht="12.75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 spans="1:12" ht="12.75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spans="1:12" ht="12.75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 spans="1:12" ht="12.75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spans="1:12" ht="12.75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 spans="1:12" ht="12.75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spans="1:12" ht="12.75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 spans="1:12" ht="12.75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spans="1:12" ht="12.75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 spans="1:12" ht="12.75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spans="1:12" ht="12.75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 spans="1:12" ht="12.75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spans="1:12" ht="12.75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 spans="1:12" ht="12.75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spans="1:12" ht="12.75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 spans="1:12" ht="12.75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spans="1:12" ht="12.75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 spans="1:12" ht="12.75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spans="1:12" ht="12.75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 spans="1:12" ht="12.75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spans="1:12" ht="12.75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 spans="1:12" ht="12.75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spans="1:12" ht="12.75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 spans="1:12" ht="12.75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spans="1:12" ht="12.75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 spans="1:12" ht="12.75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spans="1:12" ht="12.75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 spans="1:12" ht="12.75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spans="1:12" ht="12.75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 spans="1:12" ht="12.75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spans="1:12" ht="12.75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 spans="1:12" ht="12.75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spans="1:12" ht="12.75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 spans="1:12" ht="12.75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spans="1:12" ht="12.75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 spans="1:12" ht="12.75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spans="1:12" ht="12.75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 spans="1:12" ht="12.75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spans="1:12" ht="12.75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 spans="1:12" ht="12.75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spans="1:12" ht="12.75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 spans="1:12" ht="12.75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spans="1:12" ht="12.75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 spans="1:12" ht="12.75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spans="1:12" ht="12.75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 spans="1:12" ht="12.75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 spans="1:12" ht="12.75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spans="1:12" ht="12.75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 spans="1:12" ht="12.75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spans="1:12" ht="12.75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 spans="1:12" ht="12.75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spans="1:12" ht="12.75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 spans="1:12" ht="12.75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spans="1:12" ht="12.75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 spans="1:12" ht="12.75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spans="1:12" ht="12.75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 spans="1:12" ht="12.75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spans="1:12" ht="12.75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 spans="1:12" ht="12.75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spans="1:12" ht="12.75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 spans="1:12" ht="12.75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spans="1:12" ht="12.75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 spans="1:12" ht="12.75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spans="1:12" ht="12.75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 spans="1:12" ht="12.75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spans="1:12" ht="12.75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 spans="1:12" ht="12.75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spans="1:12" ht="12.75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 spans="1:12" ht="12.75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spans="1:12" ht="12.75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 spans="1:12" ht="12.75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spans="1:12" ht="12.75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 spans="1:12" ht="12.75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spans="1:12" ht="12.75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 spans="1:12" ht="12.75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spans="1:12" ht="12.75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 spans="1:12" ht="12.75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spans="1:12" ht="12.75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 spans="1:12" ht="12.75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spans="1:12" ht="12.75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 spans="1:12" ht="12.75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spans="1:12" ht="12.75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 spans="1:12" ht="12.75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spans="1:12" ht="12.75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 spans="1:12" ht="12.75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spans="1:12" ht="12.75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 spans="1:12" ht="12.75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spans="1:12" ht="12.75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 spans="1:12" ht="12.75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spans="1:12" ht="12.75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 spans="1:12" ht="12.75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spans="1:12" ht="12.75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 spans="1:12" ht="12.75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spans="1:12" ht="12.75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 spans="1:12" ht="12.75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spans="1:12" ht="12.75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 spans="1:12" ht="12.75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 spans="1:12" ht="12.75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spans="1:12" ht="12.75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 spans="1:12" ht="12.75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spans="1:12" ht="12.75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 spans="1:12" ht="12.75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spans="1:12" ht="12.75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 spans="1:12" ht="12.75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spans="1:12" ht="12.75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 spans="1:12" ht="12.75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 spans="1:12" ht="12.75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spans="1:12" ht="12.75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 spans="1:12" ht="12.75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spans="1:12" ht="12.75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 spans="1:12" ht="12.75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spans="1:12" ht="12.75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 spans="1:12" ht="12.75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spans="1:12" ht="12.75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 spans="1:12" ht="12.75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spans="1:12" ht="12.75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 spans="1:12" ht="12.75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spans="1:12" ht="12.75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 spans="1:12" ht="12.75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spans="1:12" ht="12.75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 spans="1:12" ht="12.75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spans="1:12" ht="12.75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 spans="1:12" ht="12.75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 spans="1:12" ht="12.75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spans="1:12" ht="12.75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 spans="1:12" ht="12.75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 spans="1:12" ht="12.75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spans="1:12" ht="12.75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 spans="1:12" ht="12.75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spans="1:12" ht="12.75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 spans="1:12" ht="12.75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spans="1:12" ht="12.75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 spans="1:12" ht="12.75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spans="1:12" ht="12.75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 spans="1:12" ht="12.75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 spans="1:12" ht="12.75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 spans="1:12" ht="12.75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spans="1:12" ht="12.75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 spans="1:12" ht="12.75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 spans="1:12" ht="12.75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spans="1:12" ht="12.75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 spans="1:12" ht="12.75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 spans="1:12" ht="12.75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 spans="1:12" ht="12.75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spans="1:12" ht="12.75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 spans="1:12" ht="12.75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spans="1:12" ht="12.75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 spans="1:12" ht="12.75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spans="1:12" ht="12.75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 spans="1:12" ht="12.75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spans="1:12" ht="12.75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 spans="1:12" ht="12.75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 spans="1:12" ht="12.75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spans="1:12" ht="12.75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 spans="1:12" ht="12.75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spans="1:12" ht="12.75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 spans="1:12" ht="12.75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spans="1:12" ht="12.75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 spans="1:12" ht="12.75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 spans="1:12" ht="12.75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spans="1:12" ht="12.75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 spans="1:12" ht="12.75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spans="1:12" ht="12.75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 spans="1:12" ht="12.75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spans="1:12" ht="12.75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 spans="1:12" ht="12.75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spans="1:12" ht="12.75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 spans="1:12" ht="12.75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spans="1:12" ht="12.75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 spans="1:12" ht="12.75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spans="1:12" ht="12.75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 spans="1:12" ht="12.75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spans="1:12" ht="12.75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 spans="1:12" ht="12.75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spans="1:12" ht="12.75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 spans="1:12" ht="12.75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spans="1:12" ht="12.75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 spans="1:12" ht="12.75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spans="1:12" ht="12.75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 spans="1:12" ht="12.75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spans="1:12" ht="12.75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 spans="1:12" ht="12.75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spans="1:12" ht="12.75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 spans="1:12" ht="12.75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spans="1:12" ht="12.75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 spans="1:12" ht="12.75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spans="1:12" ht="12.75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 spans="1:12" ht="12.75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 spans="1:12" ht="12.75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spans="1:12" ht="12.75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 spans="1:12" ht="12.75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spans="1:12" ht="12.75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 spans="1:12" ht="12.75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spans="1:12" ht="12.75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 spans="1:12" ht="12.75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spans="1:12" ht="12.75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 spans="1:12" ht="12.75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 spans="1:12" ht="12.75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spans="1:12" ht="12.75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 spans="1:12" ht="12.75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spans="1:12" ht="12.75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 spans="1:12" ht="12.75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 spans="1:12" ht="12.75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spans="1:12" ht="12.75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 spans="1:12" ht="12.75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spans="1:12" ht="12.75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 spans="1:12" ht="12.75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spans="1:12" ht="12.75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 spans="1:12" ht="12.75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spans="1:12" ht="12.75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 spans="1:12" ht="12.75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spans="1:12" ht="12.75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 spans="1:12" ht="12.75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spans="1:12" ht="12.75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 spans="1:12" ht="12.75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spans="1:12" ht="12.75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 spans="1:12" ht="12.75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 spans="1:12" ht="12.75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spans="1:12" ht="12.75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 spans="1:12" ht="12.75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spans="1:12" ht="12.75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 spans="1:12" ht="12.75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spans="1:12" ht="12.75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 spans="1:12" ht="12.75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spans="1:12" ht="12.75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 spans="1:12" ht="12.75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spans="1:12" ht="12.75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 spans="1:12" ht="12.75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spans="1:12" ht="12.75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 spans="1:12" ht="12.75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spans="1:12" ht="12.75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 spans="1:12" ht="12.75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spans="1:12" ht="12.75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 spans="1:12" ht="12.75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spans="1:12" ht="12.75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 spans="1:12" ht="12.75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spans="1:12" ht="12.75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 spans="1:12" ht="12.75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spans="1:12" ht="12.75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 spans="1:12" ht="12.75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spans="1:12" ht="12.75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 spans="1:12" ht="12.75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spans="1:12" ht="12.75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 spans="1:12" ht="12.75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spans="1:12" ht="12.75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 spans="1:12" ht="12.75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spans="1:12" ht="12.75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 spans="1:12" ht="12.75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spans="1:12" ht="12.75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 spans="1:12" ht="12.75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spans="1:12" ht="12.75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 spans="1:12" ht="12.75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spans="1:12" ht="12.75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 spans="1:12" ht="12.75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spans="1:12" ht="12.75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 spans="1:12" ht="12.75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spans="1:12" ht="12.75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 spans="1:12" ht="12.75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spans="1:12" ht="12.75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 spans="1:12" ht="12.75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spans="1:12" ht="12.75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 spans="1:12" ht="12.75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spans="1:12" ht="12.75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 spans="1:12" ht="12.75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spans="1:12" ht="12.75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 spans="1:12" ht="12.75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spans="1:12" ht="12.75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 spans="1:12" ht="12.75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spans="1:12" ht="12.75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 spans="1:12" ht="12.75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spans="1:12" ht="12.75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 spans="1:12" ht="12.75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spans="1:12" ht="12.75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 spans="1:12" ht="12.75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 spans="1:12" ht="12.75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 spans="1:12" ht="12.75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spans="1:12" ht="12.75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 spans="1:12" ht="12.75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spans="1:12" ht="12.75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 spans="1:12" ht="12.75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spans="1:12" ht="12.75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spans="1:12" ht="12.75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spans="1:12" ht="12.75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 spans="1:12" ht="12.75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spans="1:12" ht="12.75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 spans="1:12" ht="12.75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spans="1:12" ht="12.75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 spans="1:12" ht="12.75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spans="1:12" ht="12.75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 spans="1:12" ht="12.75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spans="1:12" ht="12.75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 spans="1:12" ht="12.75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spans="1:12" ht="12.75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 spans="1:12" ht="12.75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spans="1:12" ht="12.75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 spans="1:12" ht="12.75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spans="1:12" ht="12.75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 spans="1:12" ht="12.75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spans="1:12" ht="12.75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 spans="1:12" ht="12.75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spans="1:12" ht="12.75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 spans="1:12" ht="12.75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spans="1:12" ht="12.75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 spans="1:12" ht="12.75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spans="1:12" ht="12.75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 spans="1:12" ht="12.75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spans="1:12" ht="12.75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 spans="1:12" ht="12.75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spans="1:12" ht="12.75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 spans="1:12" ht="12.75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 spans="1:12" ht="12.75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spans="1:12" ht="12.75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 spans="1:12" ht="12.75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spans="1:12" ht="12.75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 spans="1:12" ht="12.75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spans="1:12" ht="12.75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 spans="1:12" ht="12.75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spans="1:12" ht="12.75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 spans="1:12" ht="12.75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spans="1:12" ht="12.75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 spans="1:12" ht="12.75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spans="1:12" ht="12.75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 spans="1:12" ht="12.75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spans="1:12" ht="12.75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 spans="1:12" ht="12.75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spans="1:12" ht="12.75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 spans="1:12" ht="12.75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spans="1:12" ht="12.75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 spans="1:12" ht="12.75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 spans="1:12" ht="12.75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spans="1:12" ht="12.75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 spans="1:12" ht="12.75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spans="1:12" ht="12.75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 spans="1:12" ht="12.75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spans="1:12" ht="12.75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 spans="1:12" ht="12.75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spans="1:12" ht="12.75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 spans="1:12" ht="12.75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spans="1:12" ht="12.75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 spans="1:12" ht="12.75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 spans="1:12" ht="12.75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spans="1:12" ht="12.75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 spans="1:12" ht="12.75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spans="1:12" ht="12.75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 spans="1:12" ht="12.75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 spans="1:12" ht="12.75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spans="1:12" ht="12.75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 spans="1:12" ht="12.75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 spans="1:12" ht="12.75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spans="1:12" ht="12.75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 spans="1:12" ht="12.75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spans="1:12" ht="12.75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 spans="1:12" ht="12.75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spans="1:12" ht="12.75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 spans="1:12" ht="12.75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spans="1:12" ht="12.75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 spans="1:12" ht="12.75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spans="1:12" ht="12.75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 spans="1:12" ht="12.75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 spans="1:12" ht="12.75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spans="1:12" ht="12.75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 spans="1:12" ht="12.75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spans="1:12" ht="12.75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 spans="1:12" ht="12.75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spans="1:12" ht="12.75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 spans="1:12" ht="12.75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spans="1:12" ht="12.75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 spans="1:12" ht="12.75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spans="1:12" ht="12.75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 spans="1:12" ht="12.75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spans="1:12" ht="12.75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 spans="1:12" ht="12.75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spans="1:12" ht="12.75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 spans="1:12" ht="12.75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spans="1:12" ht="12.75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 spans="1:12" ht="12.75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spans="1:12" ht="12.75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 spans="1:12" ht="12.75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 spans="1:12" ht="12.75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spans="1:12" ht="12.75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 spans="1:12" ht="12.75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spans="1:12" ht="12.75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 spans="1:12" ht="12.75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spans="1:12" ht="12.75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 spans="1:12" ht="12.75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spans="1:12" ht="12.75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 spans="1:12" ht="12.75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spans="1:12" ht="12.75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 spans="1:12" ht="12.75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spans="1:12" ht="12.75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 spans="1:12" ht="12.75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spans="1:12" ht="12.75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 spans="1:12" ht="12.75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spans="1:12" ht="12.75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 spans="1:12" ht="12.75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spans="1:12" ht="12.75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 spans="1:12" ht="12.75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spans="1:12" ht="12.75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 spans="1:12" ht="12.75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spans="1:12" ht="12.75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spans="1:12" ht="12.75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 spans="1:12" ht="12.75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 spans="1:12" ht="12.75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spans="1:12" ht="12.75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 spans="1:12" ht="12.75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spans="1:12" ht="12.75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 spans="1:12" ht="12.75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spans="1:12" ht="12.75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 spans="1:12" ht="12.75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spans="1:12" ht="12.75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 spans="1:12" ht="12.75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spans="1:12" ht="12.75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 spans="1:12" ht="12.75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spans="1:12" ht="12.75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 spans="1:12" ht="12.75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spans="1:12" ht="12.75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 spans="1:12" ht="12.75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spans="1:12" ht="12.75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 spans="1:12" ht="12.75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spans="1:12" ht="12.75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 spans="1:12" ht="12.75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spans="1:12" ht="12.75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 spans="1:12" ht="12.75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spans="1:12" ht="12.75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 spans="1:12" ht="12.75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spans="1:12" ht="12.75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 spans="1:12" ht="12.75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spans="1:12" ht="12.75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 spans="1:12" ht="12.75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spans="1:12" ht="12.75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 spans="1:12" ht="12.75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spans="1:12" ht="12.75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 spans="1:12" ht="12.75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spans="1:12" ht="12.75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 spans="1:12" ht="12.75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spans="1:12" ht="12.75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 spans="1:12" ht="12.75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spans="1:12" ht="12.75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 spans="1:12" ht="12.75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spans="1:12" ht="12.75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 spans="1:12" ht="12.75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spans="1:12" ht="12.75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 spans="1:12" ht="12.75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spans="1:12" ht="12.75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 spans="1:12" ht="12.75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spans="1:12" ht="12.75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 spans="1:12" ht="12.75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spans="1:12" ht="12.75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 spans="1:12" ht="12.75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spans="1:12" ht="12.75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 spans="1:12" ht="12.75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spans="1:12" ht="12.75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 spans="1:12" ht="12.75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spans="1:12" ht="12.75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 spans="1:12" ht="12.75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spans="1:12" ht="12.75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 spans="1:12" ht="12.75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 spans="1:12" ht="12.75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spans="1:12" ht="12.75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 spans="1:12" ht="12.75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spans="1:12" ht="12.75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 spans="1:12" ht="12.75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spans="1:12" ht="12.75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 spans="1:12" ht="12.75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spans="1:12" ht="12.75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 spans="1:12" ht="12.75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spans="1:12" ht="12.75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 spans="1:12" ht="12.75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spans="1:12" ht="12.75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 spans="1:12" ht="12.75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spans="1:12" ht="12.75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 spans="1:12" ht="12.75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spans="1:12" ht="12.75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 spans="1:12" ht="12.75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spans="1:12" ht="12.75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 spans="1:12" ht="12.75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spans="1:12" ht="12.75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 spans="1:12" ht="12.75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spans="1:12" ht="12.75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 spans="1:12" ht="12.75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spans="1:12" ht="12.75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 spans="1:12" ht="12.75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spans="1:12" ht="12.75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 spans="1:12" ht="12.75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spans="1:12" ht="12.75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 spans="1:12" ht="12.75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spans="1:12" ht="12.75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 spans="1:12" ht="12.75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spans="1:12" ht="12.75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 spans="1:12" ht="12.75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 spans="1:12" ht="12.75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spans="1:12" ht="12.75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 spans="1:12" ht="12.75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 spans="1:12" ht="12.75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spans="1:12" ht="12.75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 spans="1:12" ht="12.75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spans="1:12" ht="12.75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90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Q1" sqref="Q1:R1048576"/>
    </sheetView>
  </sheetViews>
  <sheetFormatPr defaultColWidth="12.5703125" defaultRowHeight="15.75" customHeight="1" x14ac:dyDescent="0.2"/>
  <cols>
    <col min="1" max="1" width="20" customWidth="1"/>
  </cols>
  <sheetData>
    <row r="1" spans="1:30" ht="38.25" x14ac:dyDescent="0.2">
      <c r="A1" s="16"/>
      <c r="B1" s="17" t="s">
        <v>55</v>
      </c>
      <c r="C1" s="17" t="s">
        <v>56</v>
      </c>
      <c r="D1" s="17" t="s">
        <v>45</v>
      </c>
      <c r="E1" s="17" t="s">
        <v>46</v>
      </c>
      <c r="F1" s="17" t="s">
        <v>47</v>
      </c>
      <c r="G1" s="17" t="s">
        <v>48</v>
      </c>
      <c r="H1" s="17" t="s">
        <v>57</v>
      </c>
      <c r="I1" s="17" t="s">
        <v>58</v>
      </c>
      <c r="J1" s="17" t="s">
        <v>49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64</v>
      </c>
      <c r="Q1" s="17" t="s">
        <v>50</v>
      </c>
      <c r="R1" s="17" t="s">
        <v>51</v>
      </c>
      <c r="S1" s="17" t="s">
        <v>52</v>
      </c>
      <c r="T1" s="17" t="s">
        <v>65</v>
      </c>
      <c r="U1" s="17" t="s">
        <v>66</v>
      </c>
      <c r="V1" s="16"/>
      <c r="W1" s="16"/>
      <c r="X1" s="16"/>
      <c r="Y1" s="16"/>
      <c r="Z1" s="16"/>
      <c r="AA1" s="16"/>
      <c r="AB1" s="16"/>
      <c r="AC1" s="16"/>
      <c r="AD1" s="16"/>
    </row>
    <row r="2" spans="1:30" ht="25.5" x14ac:dyDescent="0.2">
      <c r="A2" s="16" t="s">
        <v>68</v>
      </c>
      <c r="B2" s="16">
        <v>1</v>
      </c>
      <c r="C2" s="16">
        <v>1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/>
      <c r="W2" s="16"/>
      <c r="X2" s="16"/>
      <c r="Y2" s="16"/>
      <c r="Z2" s="16"/>
      <c r="AA2" s="16"/>
      <c r="AB2" s="16"/>
      <c r="AC2" s="16"/>
      <c r="AD2" s="16"/>
    </row>
    <row r="3" spans="1:30" ht="12.75" x14ac:dyDescent="0.2">
      <c r="A3" s="16" t="s">
        <v>6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1</v>
      </c>
      <c r="U3" s="16">
        <v>1</v>
      </c>
      <c r="V3" s="16"/>
      <c r="W3" s="16"/>
      <c r="X3" s="16"/>
      <c r="Y3" s="16"/>
      <c r="Z3" s="16"/>
      <c r="AA3" s="16"/>
      <c r="AB3" s="16"/>
      <c r="AC3" s="16"/>
      <c r="AD3" s="16"/>
    </row>
    <row r="4" spans="1:30" ht="25.5" x14ac:dyDescent="0.2">
      <c r="A4" s="16" t="s">
        <v>7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1</v>
      </c>
      <c r="S4" s="16">
        <v>1</v>
      </c>
      <c r="T4" s="16">
        <v>0</v>
      </c>
      <c r="U4" s="16">
        <v>0</v>
      </c>
      <c r="V4" s="16"/>
      <c r="W4" s="16"/>
      <c r="X4" s="16"/>
      <c r="Y4" s="16"/>
      <c r="Z4" s="16"/>
      <c r="AA4" s="16"/>
      <c r="AB4" s="16"/>
      <c r="AC4" s="16"/>
      <c r="AD4" s="16"/>
    </row>
    <row r="5" spans="1:30" ht="25.5" x14ac:dyDescent="0.2">
      <c r="A5" s="16" t="s">
        <v>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1</v>
      </c>
      <c r="R5" s="16">
        <v>0</v>
      </c>
      <c r="S5" s="16">
        <v>0</v>
      </c>
      <c r="T5" s="16">
        <v>0</v>
      </c>
      <c r="U5" s="16">
        <v>0</v>
      </c>
      <c r="V5" s="16"/>
      <c r="W5" s="16"/>
      <c r="X5" s="16"/>
      <c r="Y5" s="16"/>
      <c r="Z5" s="16"/>
      <c r="AA5" s="16"/>
      <c r="AB5" s="16"/>
      <c r="AC5" s="16"/>
      <c r="AD5" s="16"/>
    </row>
    <row r="6" spans="1:30" ht="25.5" x14ac:dyDescent="0.2">
      <c r="A6" s="16" t="s">
        <v>9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1</v>
      </c>
      <c r="P6" s="16">
        <v>1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/>
      <c r="W6" s="16"/>
      <c r="X6" s="16"/>
      <c r="Y6" s="16"/>
      <c r="Z6" s="16"/>
      <c r="AA6" s="16"/>
      <c r="AB6" s="16"/>
      <c r="AC6" s="16"/>
      <c r="AD6" s="16"/>
    </row>
    <row r="7" spans="1:30" ht="12.75" x14ac:dyDescent="0.2">
      <c r="A7" s="16" t="s">
        <v>10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/>
      <c r="W7" s="16"/>
      <c r="X7" s="16"/>
      <c r="Y7" s="16"/>
      <c r="Z7" s="16"/>
      <c r="AA7" s="16"/>
      <c r="AB7" s="16"/>
      <c r="AC7" s="16"/>
      <c r="AD7" s="16"/>
    </row>
    <row r="8" spans="1:30" ht="25.5" x14ac:dyDescent="0.2">
      <c r="A8" s="16" t="s">
        <v>11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>
        <v>1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/>
      <c r="W8" s="16"/>
      <c r="X8" s="16"/>
      <c r="Y8" s="16"/>
      <c r="Z8" s="16"/>
      <c r="AA8" s="16"/>
      <c r="AB8" s="16"/>
      <c r="AC8" s="16"/>
      <c r="AD8" s="16"/>
    </row>
    <row r="9" spans="1:30" ht="12.75" x14ac:dyDescent="0.2">
      <c r="A9" s="16" t="s">
        <v>12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1</v>
      </c>
      <c r="I9" s="16">
        <v>1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/>
      <c r="W9" s="16"/>
      <c r="X9" s="16"/>
      <c r="Y9" s="16"/>
      <c r="Z9" s="16"/>
      <c r="AA9" s="16"/>
      <c r="AB9" s="16"/>
      <c r="AC9" s="16"/>
      <c r="AD9" s="16"/>
    </row>
    <row r="10" spans="1:30" ht="12.75" x14ac:dyDescent="0.2">
      <c r="A10" s="16" t="s">
        <v>13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25.5" x14ac:dyDescent="0.2">
      <c r="A11" s="16" t="s">
        <v>14</v>
      </c>
      <c r="B11" s="16">
        <v>0</v>
      </c>
      <c r="C11" s="16">
        <v>0</v>
      </c>
      <c r="D11" s="16">
        <v>1</v>
      </c>
      <c r="E11" s="16">
        <v>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12.75" x14ac:dyDescent="0.2">
      <c r="A12" s="16" t="s">
        <v>15</v>
      </c>
      <c r="B12" s="16">
        <v>0</v>
      </c>
      <c r="C12" s="16">
        <v>0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12.75" x14ac:dyDescent="0.2">
      <c r="A13" s="16" t="s">
        <v>16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ht="12.75" x14ac:dyDescent="0.2">
      <c r="A14" s="16" t="s">
        <v>17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25.5" x14ac:dyDescent="0.2">
      <c r="A15" s="16" t="s">
        <v>69</v>
      </c>
      <c r="B15" s="16">
        <v>1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ht="12.75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ht="12.75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ht="12.75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ht="12.75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2.75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12.75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12.75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2.75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12.75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12.75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ht="12.75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ht="12.75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ht="12.75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ht="12.75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ht="12.75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12.75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12.75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30" ht="12.75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</row>
    <row r="34" spans="1:30" ht="12.7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1:30" ht="12.75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</row>
    <row r="36" spans="1:30" ht="12.75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</row>
    <row r="37" spans="1:30" ht="12.7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</row>
    <row r="38" spans="1:30" ht="12.7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</row>
    <row r="39" spans="1:30" ht="12.7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</row>
    <row r="40" spans="1:30" ht="12.7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</row>
    <row r="41" spans="1:30" ht="12.7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2" spans="1:30" ht="12.7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</row>
    <row r="43" spans="1:30" ht="12.7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</row>
    <row r="44" spans="1:30" ht="12.7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</row>
    <row r="45" spans="1:30" ht="12.7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</row>
    <row r="46" spans="1:30" ht="12.7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</row>
    <row r="47" spans="1:30" ht="12.7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</row>
    <row r="48" spans="1:30" ht="12.7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</row>
    <row r="49" spans="1:30" ht="12.7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</row>
    <row r="50" spans="1:30" ht="12.7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</row>
    <row r="51" spans="1:30" ht="12.7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</row>
    <row r="52" spans="1:30" ht="12.7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</row>
    <row r="53" spans="1:30" ht="12.7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</row>
    <row r="54" spans="1:30" ht="12.7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ht="12.7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ht="12.7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</row>
    <row r="57" spans="1:30" ht="12.7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</row>
    <row r="58" spans="1:30" ht="12.7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</row>
    <row r="59" spans="1:30" ht="12.7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</row>
    <row r="60" spans="1:30" ht="12.7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</row>
    <row r="61" spans="1:30" ht="12.7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</row>
    <row r="62" spans="1:30" ht="12.7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</row>
    <row r="63" spans="1:30" ht="12.7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</row>
    <row r="64" spans="1:30" ht="12.7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</row>
    <row r="65" spans="1:30" ht="12.7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spans="1:30" ht="12.7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spans="1:30" ht="12.7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spans="1:30" ht="12.7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spans="1:30" ht="12.7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spans="1:30" ht="12.7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spans="1:30" ht="12.7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spans="1:30" ht="12.7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spans="1:30" ht="12.7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spans="1:30" ht="12.7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spans="1:30" ht="12.7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spans="1:30" ht="12.7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spans="1:30" ht="12.7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spans="1:30" ht="12.7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spans="1:30" ht="12.7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spans="1:30" ht="12.7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spans="1:30" ht="12.7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spans="1:30" ht="12.7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spans="1:30" ht="12.7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spans="1:30" ht="12.75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spans="1:30" ht="12.75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spans="1:30" ht="12.75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spans="1:30" ht="12.75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spans="1:30" ht="12.7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spans="1:30" ht="12.75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spans="1:30" ht="12.75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spans="1:30" ht="12.75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spans="1:30" ht="12.75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spans="1:30" ht="12.75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spans="1:30" ht="12.75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spans="1:30" ht="12.75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0" ht="12.75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spans="1:30" ht="12.75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spans="1:30" ht="12.75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spans="1:30" ht="12.75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spans="1:30" ht="12.75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spans="1:30" ht="12.75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spans="1:30" ht="12.75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spans="1:30" ht="12.75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spans="1:30" ht="12.75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spans="1:30" ht="12.75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spans="1:30" ht="12.75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spans="1:30" ht="12.75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spans="1:30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spans="1:30" ht="12.7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spans="1:30" ht="12.75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spans="1:30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spans="1:30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spans="1:30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spans="1:30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spans="1:30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spans="1:30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spans="1:30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spans="1:30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spans="1:30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spans="1:30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spans="1:30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spans="1:30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spans="1:30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spans="1:30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spans="1:30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spans="1:30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spans="1:30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spans="1:30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spans="1:30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spans="1:30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spans="1:30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spans="1:30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spans="1:30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spans="1:30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spans="1:30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spans="1:30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spans="1:30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spans="1:30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spans="1:30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spans="1:30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spans="1:30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spans="1:30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spans="1:30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spans="1:30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spans="1:30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spans="1:30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spans="1:30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spans="1:30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spans="1:30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spans="1:30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spans="1:30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spans="1:30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spans="1:30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spans="1:30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spans="1:30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spans="1:30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spans="1:30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spans="1:30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spans="1:30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spans="1:30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spans="1:30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spans="1:30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spans="1:30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spans="1:30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spans="1:30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spans="1:30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spans="1:30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spans="1:30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spans="1:30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spans="1:30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spans="1:30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spans="1:30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spans="1:30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spans="1:30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spans="1:30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spans="1:30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spans="1:30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spans="1:30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spans="1:30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spans="1:30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spans="1:30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spans="1:30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spans="1:30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spans="1:30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spans="1:30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spans="1:30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spans="1:30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spans="1:30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spans="1:30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spans="1:30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spans="1:30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spans="1:30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spans="1:30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spans="1:30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spans="1:30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spans="1:30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spans="1:30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spans="1:30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spans="1:30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spans="1:30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spans="1:30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spans="1:30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spans="1:30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spans="1:30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spans="1:30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spans="1:30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spans="1:30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spans="1:30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spans="1:30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spans="1:30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spans="1:30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spans="1:30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spans="1:30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spans="1:30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spans="1:30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spans="1:30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spans="1:30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spans="1:30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spans="1:30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spans="1:30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spans="1:30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spans="1:30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spans="1:30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spans="1:30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spans="1:30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spans="1:30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spans="1:30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spans="1:30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spans="1:30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spans="1:30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spans="1:30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spans="1:30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spans="1:30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spans="1:30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spans="1:30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spans="1:30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spans="1:30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spans="1:30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spans="1:30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spans="1:30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spans="1:30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spans="1:30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spans="1:30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spans="1:30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spans="1:30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spans="1:30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spans="1:30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spans="1:30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spans="1:30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spans="1:30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spans="1:30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spans="1:30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spans="1:30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spans="1:30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spans="1:30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spans="1:30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spans="1:30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spans="1:30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spans="1:30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spans="1:30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spans="1:30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spans="1:30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spans="1:30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spans="1:30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spans="1:30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spans="1:30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spans="1:30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spans="1:30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spans="1:30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spans="1:30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spans="1:30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spans="1:30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spans="1:30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spans="1:30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spans="1:30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spans="1:30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spans="1:30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spans="1:30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spans="1:30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spans="1:30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spans="1:30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spans="1:30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spans="1:30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spans="1:30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spans="1:30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spans="1:30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spans="1:30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spans="1:30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spans="1:30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spans="1:30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spans="1:30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spans="1:30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spans="1:30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spans="1:30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spans="1:30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spans="1:30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spans="1:30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spans="1:30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spans="1:30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spans="1:30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spans="1:30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spans="1:30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spans="1:30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spans="1:30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spans="1:30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spans="1:30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spans="1:30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spans="1:30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spans="1:30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spans="1:30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spans="1:30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spans="1:30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spans="1:30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spans="1:30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spans="1:30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spans="1:30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spans="1:30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spans="1:30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spans="1:30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spans="1:30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spans="1:30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spans="1:30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spans="1:30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spans="1:30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spans="1:30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spans="1:30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spans="1:30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spans="1:30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spans="1:30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spans="1:30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spans="1:30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spans="1:30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spans="1:30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spans="1:30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spans="1:30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spans="1:30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spans="1:30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spans="1:30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spans="1:30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spans="1:30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spans="1:30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spans="1:30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spans="1:30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spans="1:30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spans="1:30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spans="1:30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spans="1:30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spans="1:30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spans="1:30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spans="1:30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spans="1:30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spans="1:30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spans="1:30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spans="1:30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spans="1:30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spans="1:30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spans="1:30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spans="1:30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spans="1:30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spans="1:30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spans="1:30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spans="1:30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spans="1:30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spans="1:30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spans="1:30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spans="1:30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spans="1:30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spans="1:30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spans="1:30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spans="1:30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spans="1:30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spans="1:30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spans="1:30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spans="1:30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spans="1:30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spans="1:30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spans="1:30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spans="1:30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spans="1:30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spans="1:30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spans="1:30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spans="1:30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spans="1:30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spans="1:30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spans="1:30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spans="1:30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spans="1:30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spans="1:30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spans="1:30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spans="1:30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spans="1:30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spans="1:30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spans="1:30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spans="1:30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spans="1:30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spans="1:30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spans="1:30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spans="1:30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spans="1:30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spans="1:30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spans="1:30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spans="1:30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spans="1:30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spans="1:30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spans="1:30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spans="1:30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spans="1:30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spans="1:30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spans="1:30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spans="1:30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spans="1:30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spans="1:30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spans="1:30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spans="1:30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spans="1:30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spans="1:30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spans="1:30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spans="1:30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spans="1:30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spans="1:30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spans="1:30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spans="1:30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spans="1:30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spans="1:30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spans="1:30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spans="1:30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spans="1:30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spans="1:30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spans="1:30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spans="1:30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spans="1:30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spans="1:30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spans="1:30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spans="1:30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spans="1:30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spans="1:30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spans="1:30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spans="1:30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spans="1:30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spans="1:30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spans="1:30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spans="1:30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spans="1:30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spans="1:30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spans="1:30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spans="1:30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spans="1:30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spans="1:30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spans="1:30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spans="1:30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spans="1:30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spans="1:30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spans="1:30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spans="1:30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spans="1:30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spans="1:30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spans="1:30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spans="1:30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spans="1:30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spans="1:30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spans="1:30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spans="1:30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spans="1:30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spans="1:30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spans="1:30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spans="1:30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spans="1:30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spans="1:30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spans="1:30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spans="1:30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spans="1:30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spans="1:30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spans="1:30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spans="1:30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spans="1:30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spans="1:30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spans="1:30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spans="1:30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spans="1:30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spans="1:30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spans="1:30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spans="1:30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spans="1:30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spans="1:30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spans="1:30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spans="1:30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spans="1:30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spans="1:30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spans="1:30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spans="1:30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spans="1:30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spans="1:30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spans="1:30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spans="1:30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spans="1:30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spans="1:30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spans="1:30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spans="1:30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spans="1:30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spans="1:30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spans="1:30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spans="1:30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spans="1:30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spans="1:30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spans="1:30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spans="1:30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spans="1:30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spans="1:30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spans="1:30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spans="1:30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spans="1:30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spans="1:30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spans="1:30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spans="1:30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spans="1:30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spans="1:30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spans="1:30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spans="1:30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spans="1:30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spans="1:30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spans="1:30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spans="1:30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spans="1:30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spans="1:30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spans="1:30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spans="1:30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spans="1:30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spans="1:30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spans="1:30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spans="1:30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spans="1:30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spans="1:30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spans="1:30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spans="1:30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spans="1:30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spans="1:30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spans="1:30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spans="1:30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spans="1:30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spans="1:30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spans="1:30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spans="1:30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spans="1:30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spans="1:30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spans="1:30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spans="1:30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spans="1:30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spans="1:30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spans="1:30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spans="1:30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spans="1:30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spans="1:30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spans="1:30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spans="1:30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spans="1:30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spans="1:30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spans="1:30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spans="1:30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spans="1:30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spans="1:30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spans="1:30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spans="1:30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spans="1:30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spans="1:30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spans="1:30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spans="1:30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spans="1:30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spans="1:30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spans="1:30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spans="1:30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spans="1:30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spans="1:30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spans="1:30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spans="1:30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spans="1:30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spans="1:30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spans="1:30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spans="1:30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spans="1:30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spans="1:30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spans="1:30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spans="1:30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spans="1:30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spans="1:30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spans="1:30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spans="1:30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spans="1:30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spans="1:30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spans="1:30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spans="1:30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spans="1:30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spans="1:30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spans="1:30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spans="1:30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spans="1:30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spans="1:30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spans="1:30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spans="1:30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spans="1:30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spans="1:30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spans="1:30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spans="1:30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spans="1:30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spans="1:30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spans="1:30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spans="1:30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spans="1:30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spans="1:30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spans="1:30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spans="1:30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spans="1:30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spans="1:30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spans="1:30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spans="1:30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spans="1:30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spans="1:30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spans="1:30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spans="1:30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spans="1:30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spans="1:30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spans="1:30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spans="1:30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spans="1:30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spans="1:30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spans="1:30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spans="1:30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spans="1:30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spans="1:30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spans="1:30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spans="1:30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spans="1:30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spans="1:30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spans="1:30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spans="1:30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spans="1:30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spans="1:30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spans="1:30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spans="1:30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spans="1:30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spans="1:30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spans="1:30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spans="1:30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spans="1:30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spans="1:30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spans="1:30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spans="1:30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spans="1:30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spans="1:30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spans="1:30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spans="1:30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spans="1:30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spans="1:30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spans="1:30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spans="1:30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spans="1:30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spans="1:30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spans="1:30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spans="1:30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spans="1:30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spans="1:30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spans="1:30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spans="1:30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spans="1:30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spans="1:30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spans="1:30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spans="1:30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spans="1:30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spans="1:30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spans="1:30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spans="1:30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spans="1:30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spans="1:30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spans="1:30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spans="1:30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spans="1:30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spans="1:30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spans="1:30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spans="1:30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spans="1:30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spans="1:30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spans="1:30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spans="1:30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spans="1:30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spans="1:30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spans="1:30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spans="1:30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spans="1:30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spans="1:30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spans="1:30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spans="1:30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spans="1:30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spans="1:30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spans="1:30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spans="1:30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spans="1:30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spans="1:30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spans="1:30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spans="1:30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spans="1:30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spans="1:30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spans="1:30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spans="1:30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spans="1:30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spans="1:30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spans="1:30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spans="1:30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spans="1:30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spans="1:30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spans="1:30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spans="1:30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spans="1:30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spans="1:30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spans="1:30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spans="1:30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spans="1:30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spans="1:30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spans="1:30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spans="1:30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spans="1:30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spans="1:30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spans="1:30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spans="1:30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spans="1:30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spans="1:30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spans="1:30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spans="1:30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spans="1:30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spans="1:30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spans="1:30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spans="1:30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spans="1:30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spans="1:30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spans="1:30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spans="1:30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spans="1:30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spans="1:30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spans="1:30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spans="1:30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spans="1:30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spans="1:30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spans="1:30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spans="1:30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spans="1:30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spans="1:30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spans="1:30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spans="1:30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spans="1:30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spans="1:30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spans="1:30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spans="1:30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spans="1:30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spans="1:30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spans="1:30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spans="1:30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spans="1:30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spans="1:30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spans="1:30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spans="1:30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spans="1:30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spans="1:30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spans="1:30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spans="1:30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spans="1:30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spans="1:30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spans="1:30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spans="1:30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spans="1:30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spans="1:30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spans="1:30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spans="1:30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spans="1:30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spans="1:30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spans="1:30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spans="1:30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spans="1:30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spans="1:30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spans="1:30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spans="1:30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spans="1:30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spans="1:30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spans="1:30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spans="1:30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spans="1:30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spans="1:30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spans="1:30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spans="1:30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5"/>
  <sheetViews>
    <sheetView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Q2" sqref="Q2:Q3"/>
    </sheetView>
  </sheetViews>
  <sheetFormatPr defaultColWidth="12.5703125" defaultRowHeight="15.75" customHeight="1" x14ac:dyDescent="0.2"/>
  <cols>
    <col min="1" max="1" width="18.7109375" customWidth="1"/>
    <col min="2" max="2" width="13.28515625" customWidth="1"/>
    <col min="7" max="7" width="14.85546875" customWidth="1"/>
  </cols>
  <sheetData>
    <row r="1" spans="1:15" ht="38.25" x14ac:dyDescent="0.2">
      <c r="A1" s="16" t="s">
        <v>53</v>
      </c>
      <c r="B1" s="16" t="s">
        <v>68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  <c r="N1" s="16" t="s">
        <v>17</v>
      </c>
      <c r="O1" s="16" t="s">
        <v>69</v>
      </c>
    </row>
    <row r="2" spans="1:15" ht="25.5" x14ac:dyDescent="0.2">
      <c r="A2" s="16" t="s">
        <v>68</v>
      </c>
      <c r="B2" s="16">
        <v>0</v>
      </c>
      <c r="C2" s="16">
        <v>3</v>
      </c>
      <c r="D2" s="16">
        <v>2.7</v>
      </c>
      <c r="E2" s="16">
        <v>2.5</v>
      </c>
      <c r="F2" s="16">
        <v>2.1</v>
      </c>
      <c r="G2" s="16">
        <v>1.5</v>
      </c>
      <c r="H2" s="16">
        <v>2.7</v>
      </c>
      <c r="I2" s="16">
        <v>2.5</v>
      </c>
      <c r="J2" s="16">
        <v>3.7</v>
      </c>
      <c r="K2" s="16">
        <v>1.2</v>
      </c>
      <c r="L2" s="16">
        <v>4.7</v>
      </c>
      <c r="M2" s="16">
        <v>2</v>
      </c>
      <c r="N2" s="16">
        <v>2.5</v>
      </c>
      <c r="O2" s="16">
        <v>0</v>
      </c>
    </row>
    <row r="3" spans="1:15" ht="12.75" x14ac:dyDescent="0.2">
      <c r="A3" s="16" t="s">
        <v>6</v>
      </c>
      <c r="B3" s="16">
        <v>2.2999999999999998</v>
      </c>
      <c r="C3" s="16">
        <v>0</v>
      </c>
      <c r="D3" s="16">
        <v>0.4</v>
      </c>
      <c r="E3" s="16" t="s">
        <v>54</v>
      </c>
      <c r="F3" s="16">
        <v>0.8</v>
      </c>
      <c r="G3" s="16">
        <v>1.6</v>
      </c>
      <c r="H3" s="16">
        <v>2.2999999999999998</v>
      </c>
      <c r="I3" s="16">
        <v>2.8</v>
      </c>
      <c r="J3" s="16">
        <v>3.6</v>
      </c>
      <c r="K3" s="16">
        <v>3.5</v>
      </c>
      <c r="L3" s="16">
        <v>7.1</v>
      </c>
      <c r="M3" s="16">
        <v>1.5</v>
      </c>
      <c r="N3" s="16">
        <v>2.6</v>
      </c>
      <c r="O3" s="16">
        <v>2.2999999999999998</v>
      </c>
    </row>
    <row r="4" spans="1:15" ht="25.5" x14ac:dyDescent="0.2">
      <c r="A4" s="16" t="s">
        <v>7</v>
      </c>
      <c r="B4" s="16">
        <v>2.4</v>
      </c>
      <c r="C4" s="16">
        <v>0.75</v>
      </c>
      <c r="D4" s="16">
        <v>0</v>
      </c>
      <c r="E4" s="16">
        <v>0.4</v>
      </c>
      <c r="F4" s="16">
        <v>0.9</v>
      </c>
      <c r="G4" s="16">
        <v>1.7</v>
      </c>
      <c r="H4" s="16">
        <v>2.6</v>
      </c>
      <c r="I4" s="16">
        <v>2.9</v>
      </c>
      <c r="J4" s="16">
        <v>3.4</v>
      </c>
      <c r="K4" s="16">
        <v>3.6</v>
      </c>
      <c r="L4" s="16">
        <v>7.2</v>
      </c>
      <c r="M4" s="16">
        <v>1.6</v>
      </c>
      <c r="N4" s="16">
        <v>1.6</v>
      </c>
      <c r="O4" s="16">
        <v>2.4</v>
      </c>
    </row>
    <row r="5" spans="1:15" ht="25.5" x14ac:dyDescent="0.2">
      <c r="A5" s="16" t="s">
        <v>8</v>
      </c>
      <c r="B5" s="16">
        <v>2.1</v>
      </c>
      <c r="C5" s="16">
        <v>1.4</v>
      </c>
      <c r="D5" s="16">
        <v>0.4</v>
      </c>
      <c r="E5" s="16">
        <v>0</v>
      </c>
      <c r="F5" s="16">
        <v>0.65</v>
      </c>
      <c r="G5" s="16">
        <v>1.4</v>
      </c>
      <c r="H5" s="16">
        <v>2.2000000000000002</v>
      </c>
      <c r="I5" s="16">
        <v>2.6</v>
      </c>
      <c r="J5" s="16">
        <v>3.6</v>
      </c>
      <c r="K5" s="16">
        <v>3.4</v>
      </c>
      <c r="L5" s="16">
        <v>7</v>
      </c>
      <c r="M5" s="16">
        <v>1.5</v>
      </c>
      <c r="N5" s="16">
        <v>1.4</v>
      </c>
      <c r="O5" s="16">
        <v>2.1</v>
      </c>
    </row>
    <row r="6" spans="1:15" ht="25.5" x14ac:dyDescent="0.2">
      <c r="A6" s="16" t="s">
        <v>9</v>
      </c>
      <c r="B6" s="16">
        <v>1.5</v>
      </c>
      <c r="C6" s="16">
        <v>2.1</v>
      </c>
      <c r="D6" s="16">
        <v>1.2</v>
      </c>
      <c r="E6" s="16">
        <v>0.95</v>
      </c>
      <c r="F6" s="16">
        <v>0</v>
      </c>
      <c r="G6" s="16">
        <v>0.85</v>
      </c>
      <c r="H6" s="16">
        <v>1.5</v>
      </c>
      <c r="I6" s="16">
        <v>2.1</v>
      </c>
      <c r="J6" s="16">
        <v>4.4000000000000004</v>
      </c>
      <c r="K6" s="16">
        <v>2.8</v>
      </c>
      <c r="L6" s="16">
        <v>6.4</v>
      </c>
      <c r="M6" s="16">
        <v>0.8</v>
      </c>
      <c r="N6" s="16">
        <v>0.85</v>
      </c>
      <c r="O6" s="16">
        <v>1.5</v>
      </c>
    </row>
    <row r="7" spans="1:15" ht="25.5" x14ac:dyDescent="0.2">
      <c r="A7" s="16" t="s">
        <v>10</v>
      </c>
      <c r="B7" s="16">
        <v>1.2</v>
      </c>
      <c r="C7" s="16">
        <v>2</v>
      </c>
      <c r="D7" s="16">
        <v>2</v>
      </c>
      <c r="E7" s="16">
        <v>1.6</v>
      </c>
      <c r="F7" s="16">
        <v>1.5</v>
      </c>
      <c r="G7" s="16">
        <v>0</v>
      </c>
      <c r="H7" s="16">
        <v>1.1000000000000001</v>
      </c>
      <c r="I7" s="16">
        <v>1</v>
      </c>
      <c r="J7" s="16">
        <v>3.9</v>
      </c>
      <c r="K7" s="16">
        <v>1.9</v>
      </c>
      <c r="L7" s="16">
        <v>5</v>
      </c>
      <c r="M7" s="16">
        <v>0.19</v>
      </c>
      <c r="N7" s="16">
        <v>0.45</v>
      </c>
      <c r="O7" s="16">
        <v>1.2</v>
      </c>
    </row>
    <row r="8" spans="1:15" ht="25.5" x14ac:dyDescent="0.2">
      <c r="A8" s="16" t="s">
        <v>11</v>
      </c>
      <c r="B8" s="16">
        <v>2.7</v>
      </c>
      <c r="C8" s="16">
        <v>3.5</v>
      </c>
      <c r="D8" s="16">
        <v>2.5</v>
      </c>
      <c r="E8" s="16">
        <v>2.2999999999999998</v>
      </c>
      <c r="F8" s="16">
        <v>2.2999999999999998</v>
      </c>
      <c r="G8" s="16">
        <v>1.1000000000000001</v>
      </c>
      <c r="H8" s="16">
        <v>0</v>
      </c>
      <c r="I8" s="16">
        <v>1</v>
      </c>
      <c r="J8" s="16">
        <v>5.7</v>
      </c>
      <c r="K8" s="16">
        <v>2.8</v>
      </c>
      <c r="L8" s="16">
        <v>5.3</v>
      </c>
      <c r="M8" s="16">
        <v>0.9</v>
      </c>
      <c r="N8" s="16">
        <v>0.65</v>
      </c>
      <c r="O8" s="16">
        <v>2.7</v>
      </c>
    </row>
    <row r="9" spans="1:15" ht="12.75" x14ac:dyDescent="0.2">
      <c r="A9" s="16" t="s">
        <v>12</v>
      </c>
      <c r="B9" s="16">
        <v>2.2999999999999998</v>
      </c>
      <c r="C9" s="16">
        <v>3.5</v>
      </c>
      <c r="D9" s="16">
        <v>3.5</v>
      </c>
      <c r="E9" s="16">
        <v>3.2</v>
      </c>
      <c r="F9" s="16">
        <v>3.1</v>
      </c>
      <c r="G9" s="16">
        <v>1.5</v>
      </c>
      <c r="H9" s="16">
        <v>1.7</v>
      </c>
      <c r="I9" s="16">
        <v>0</v>
      </c>
      <c r="J9" s="16">
        <v>5.2</v>
      </c>
      <c r="K9" s="16">
        <v>2</v>
      </c>
      <c r="L9" s="16">
        <v>4</v>
      </c>
      <c r="M9" s="16">
        <v>1.7</v>
      </c>
      <c r="N9" s="16">
        <v>2.4</v>
      </c>
      <c r="O9" s="16">
        <v>2.2999999999999998</v>
      </c>
    </row>
    <row r="10" spans="1:15" ht="12.75" x14ac:dyDescent="0.2">
      <c r="A10" s="16" t="s">
        <v>13</v>
      </c>
      <c r="B10" s="16">
        <v>4.5</v>
      </c>
      <c r="C10" s="16">
        <v>2.8</v>
      </c>
      <c r="D10" s="16">
        <v>3.3</v>
      </c>
      <c r="E10" s="16">
        <v>3.6</v>
      </c>
      <c r="F10" s="16">
        <v>3.6</v>
      </c>
      <c r="G10" s="16">
        <v>4.4000000000000004</v>
      </c>
      <c r="H10" s="16">
        <v>5.0999999999999996</v>
      </c>
      <c r="I10" s="16">
        <v>5.6</v>
      </c>
      <c r="J10" s="16">
        <v>0</v>
      </c>
      <c r="K10" s="16">
        <v>4.5</v>
      </c>
      <c r="L10" s="16">
        <v>8.5</v>
      </c>
      <c r="M10" s="16">
        <v>4.4000000000000004</v>
      </c>
      <c r="N10" s="16">
        <v>4.7</v>
      </c>
      <c r="O10" s="16">
        <v>4.5</v>
      </c>
    </row>
    <row r="11" spans="1:15" ht="25.5" x14ac:dyDescent="0.2">
      <c r="A11" s="16" t="s">
        <v>14</v>
      </c>
      <c r="B11" s="16">
        <v>1.5</v>
      </c>
      <c r="C11" s="16">
        <v>4.0999999999999996</v>
      </c>
      <c r="D11" s="16">
        <v>3.9</v>
      </c>
      <c r="E11" s="16">
        <v>3.7</v>
      </c>
      <c r="F11" s="16">
        <v>3.3</v>
      </c>
      <c r="G11" s="16">
        <v>1.8</v>
      </c>
      <c r="H11" s="16">
        <v>2.6</v>
      </c>
      <c r="I11" s="16">
        <v>2.5</v>
      </c>
      <c r="J11" s="16">
        <v>4.0999999999999996</v>
      </c>
      <c r="K11" s="16">
        <v>0</v>
      </c>
      <c r="L11" s="16">
        <v>4.5</v>
      </c>
      <c r="M11" s="16">
        <v>2.2999999999999998</v>
      </c>
      <c r="N11" s="16">
        <v>3.2</v>
      </c>
      <c r="O11" s="16">
        <v>1.5</v>
      </c>
    </row>
    <row r="12" spans="1:15" ht="12.75" x14ac:dyDescent="0.2">
      <c r="A12" s="16" t="s">
        <v>15</v>
      </c>
      <c r="B12" s="16">
        <v>4.9000000000000004</v>
      </c>
      <c r="C12" s="16">
        <v>7.5</v>
      </c>
      <c r="D12" s="16">
        <v>7.5</v>
      </c>
      <c r="E12" s="16">
        <v>7.3</v>
      </c>
      <c r="F12" s="16">
        <v>6.7</v>
      </c>
      <c r="G12" s="16">
        <v>5.2</v>
      </c>
      <c r="H12" s="16">
        <v>5.7</v>
      </c>
      <c r="I12" s="16">
        <v>4.2</v>
      </c>
      <c r="J12" s="16">
        <v>8.1</v>
      </c>
      <c r="K12" s="16">
        <v>4.3</v>
      </c>
      <c r="L12" s="16">
        <v>0</v>
      </c>
      <c r="M12" s="16">
        <v>5.7</v>
      </c>
      <c r="N12" s="16">
        <v>6.4</v>
      </c>
      <c r="O12" s="16">
        <v>4.9000000000000004</v>
      </c>
    </row>
    <row r="13" spans="1:15" ht="12.75" x14ac:dyDescent="0.2">
      <c r="A13" s="16" t="s">
        <v>16</v>
      </c>
      <c r="B13" s="16">
        <v>2</v>
      </c>
      <c r="C13" s="16">
        <v>2.1</v>
      </c>
      <c r="D13" s="16">
        <v>2.1</v>
      </c>
      <c r="E13" s="16">
        <v>1.8</v>
      </c>
      <c r="F13" s="16">
        <v>1.7</v>
      </c>
      <c r="G13" s="16">
        <v>0.19</v>
      </c>
      <c r="H13" s="16">
        <v>1</v>
      </c>
      <c r="I13" s="16">
        <v>1.5</v>
      </c>
      <c r="J13" s="16">
        <v>4.4000000000000004</v>
      </c>
      <c r="K13" s="16">
        <v>2.4</v>
      </c>
      <c r="L13" s="16">
        <v>5.8</v>
      </c>
      <c r="M13" s="16">
        <v>0</v>
      </c>
      <c r="N13" s="16">
        <v>0.3</v>
      </c>
      <c r="O13" s="16">
        <v>2</v>
      </c>
    </row>
    <row r="14" spans="1:15" ht="12.75" x14ac:dyDescent="0.2">
      <c r="A14" s="16" t="s">
        <v>17</v>
      </c>
      <c r="B14" s="16">
        <v>2</v>
      </c>
      <c r="C14" s="16">
        <v>2.5</v>
      </c>
      <c r="D14" s="16">
        <v>1.8</v>
      </c>
      <c r="E14" s="16">
        <v>1.3</v>
      </c>
      <c r="F14" s="16">
        <v>1.4</v>
      </c>
      <c r="G14" s="16">
        <v>0.45</v>
      </c>
      <c r="H14" s="16">
        <v>1</v>
      </c>
      <c r="I14" s="16">
        <v>1.6</v>
      </c>
      <c r="J14" s="16">
        <v>4.7</v>
      </c>
      <c r="K14" s="16">
        <v>2.7</v>
      </c>
      <c r="L14" s="16">
        <v>5.8</v>
      </c>
      <c r="M14" s="16">
        <v>0.3</v>
      </c>
      <c r="N14" s="16">
        <v>0</v>
      </c>
      <c r="O14" s="16">
        <v>2</v>
      </c>
    </row>
    <row r="15" spans="1:15" ht="15.75" customHeight="1" x14ac:dyDescent="0.2">
      <c r="A15" s="16" t="s">
        <v>69</v>
      </c>
      <c r="B15" s="16">
        <v>0</v>
      </c>
      <c r="C15" s="16">
        <v>3</v>
      </c>
      <c r="D15" s="16">
        <v>2.7</v>
      </c>
      <c r="E15" s="16">
        <v>2.5</v>
      </c>
      <c r="F15" s="16">
        <v>2.1</v>
      </c>
      <c r="G15" s="16">
        <v>1.5</v>
      </c>
      <c r="H15" s="16">
        <v>2.7</v>
      </c>
      <c r="I15" s="16">
        <v>2.5</v>
      </c>
      <c r="J15" s="16">
        <v>3.7</v>
      </c>
      <c r="K15" s="16">
        <v>1.2</v>
      </c>
      <c r="L15" s="16">
        <v>4.7</v>
      </c>
      <c r="M15" s="16">
        <v>2</v>
      </c>
      <c r="N15" s="16">
        <v>2.5</v>
      </c>
      <c r="O15" s="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21"/>
  <sheetViews>
    <sheetView workbookViewId="0">
      <pane xSplit="1" ySplit="1" topLeftCell="M16" activePane="bottomRight" state="frozen"/>
      <selection pane="topRight" activeCell="B1" sqref="B1"/>
      <selection pane="bottomLeft" activeCell="A2" sqref="A2"/>
      <selection pane="bottomRight" activeCell="A17" sqref="A17:XFD18"/>
    </sheetView>
  </sheetViews>
  <sheetFormatPr defaultColWidth="12.5703125" defaultRowHeight="15.75" customHeight="1" x14ac:dyDescent="0.2"/>
  <cols>
    <col min="1" max="1" width="16" customWidth="1"/>
    <col min="2" max="21" width="14.5703125" customWidth="1"/>
  </cols>
  <sheetData>
    <row r="1" spans="1:21" ht="43.5" customHeight="1" thickBot="1" x14ac:dyDescent="0.25">
      <c r="A1" s="18" t="s">
        <v>67</v>
      </c>
      <c r="B1" s="18" t="s">
        <v>55</v>
      </c>
      <c r="C1" s="18" t="s">
        <v>56</v>
      </c>
      <c r="D1" s="18" t="s">
        <v>45</v>
      </c>
      <c r="E1" s="18" t="s">
        <v>46</v>
      </c>
      <c r="F1" s="18" t="s">
        <v>47</v>
      </c>
      <c r="G1" s="18" t="s">
        <v>48</v>
      </c>
      <c r="H1" s="18" t="s">
        <v>57</v>
      </c>
      <c r="I1" s="18" t="s">
        <v>58</v>
      </c>
      <c r="J1" s="18" t="s">
        <v>49</v>
      </c>
      <c r="K1" s="18" t="s">
        <v>59</v>
      </c>
      <c r="L1" s="18" t="s">
        <v>60</v>
      </c>
      <c r="M1" s="18" t="s">
        <v>61</v>
      </c>
      <c r="N1" s="18" t="s">
        <v>62</v>
      </c>
      <c r="O1" s="18" t="s">
        <v>63</v>
      </c>
      <c r="P1" s="18" t="s">
        <v>64</v>
      </c>
      <c r="Q1" s="18" t="s">
        <v>50</v>
      </c>
      <c r="R1" s="18" t="s">
        <v>51</v>
      </c>
      <c r="S1" s="18" t="s">
        <v>52</v>
      </c>
      <c r="T1" s="18" t="s">
        <v>65</v>
      </c>
      <c r="U1" s="18" t="s">
        <v>66</v>
      </c>
    </row>
    <row r="2" spans="1:21" ht="43.5" customHeight="1" thickBot="1" x14ac:dyDescent="0.25">
      <c r="A2" s="18" t="s">
        <v>55</v>
      </c>
      <c r="B2" s="18">
        <v>0</v>
      </c>
      <c r="C2" s="18">
        <v>0</v>
      </c>
      <c r="D2" s="18">
        <v>0</v>
      </c>
      <c r="E2" s="18">
        <v>0</v>
      </c>
      <c r="F2" s="18">
        <v>20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</row>
    <row r="3" spans="1:21" ht="43.5" customHeight="1" thickBot="1" x14ac:dyDescent="0.25">
      <c r="A3" s="18" t="s">
        <v>56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</row>
    <row r="4" spans="1:21" ht="43.5" customHeight="1" thickBot="1" x14ac:dyDescent="0.25">
      <c r="A4" s="18" t="s">
        <v>45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</row>
    <row r="5" spans="1:21" ht="43.5" customHeight="1" thickBot="1" x14ac:dyDescent="0.25">
      <c r="A5" s="18" t="s">
        <v>46</v>
      </c>
      <c r="B5" s="18">
        <v>0</v>
      </c>
      <c r="C5" s="18">
        <v>0</v>
      </c>
      <c r="D5" s="18">
        <v>0</v>
      </c>
      <c r="E5" s="18">
        <v>0</v>
      </c>
      <c r="F5" s="18">
        <v>20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</row>
    <row r="6" spans="1:21" ht="43.5" customHeight="1" thickBot="1" x14ac:dyDescent="0.25">
      <c r="A6" s="18" t="s">
        <v>47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</row>
    <row r="7" spans="1:21" ht="43.5" customHeight="1" thickBot="1" x14ac:dyDescent="0.25">
      <c r="A7" s="18" t="s">
        <v>48</v>
      </c>
      <c r="B7" s="18">
        <v>0</v>
      </c>
      <c r="C7" s="18">
        <v>20</v>
      </c>
      <c r="D7" s="18">
        <v>21</v>
      </c>
      <c r="E7" s="18">
        <v>0</v>
      </c>
      <c r="F7" s="18">
        <v>0</v>
      </c>
      <c r="G7" s="18">
        <v>0</v>
      </c>
      <c r="H7" s="18">
        <v>0</v>
      </c>
      <c r="I7" s="18">
        <v>17</v>
      </c>
      <c r="J7" s="18">
        <v>0</v>
      </c>
      <c r="K7" s="18">
        <v>20</v>
      </c>
      <c r="L7" s="18">
        <v>0</v>
      </c>
      <c r="M7" s="18">
        <v>22</v>
      </c>
      <c r="N7" s="18">
        <v>0</v>
      </c>
      <c r="O7" s="18">
        <v>0</v>
      </c>
      <c r="P7" s="18">
        <v>25</v>
      </c>
      <c r="Q7" s="18">
        <v>0</v>
      </c>
      <c r="R7" s="18">
        <v>0</v>
      </c>
      <c r="S7" s="18">
        <v>0</v>
      </c>
      <c r="T7" s="18">
        <v>0</v>
      </c>
      <c r="U7" s="18">
        <v>27</v>
      </c>
    </row>
    <row r="8" spans="1:21" ht="43.5" customHeight="1" thickBot="1" x14ac:dyDescent="0.25">
      <c r="A8" s="18" t="s">
        <v>57</v>
      </c>
      <c r="B8" s="18">
        <v>0</v>
      </c>
      <c r="C8" s="18">
        <v>0</v>
      </c>
      <c r="D8" s="18">
        <v>0</v>
      </c>
      <c r="E8" s="18">
        <v>0</v>
      </c>
      <c r="F8" s="18">
        <v>19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</row>
    <row r="9" spans="1:21" ht="43.5" customHeight="1" thickBot="1" x14ac:dyDescent="0.25">
      <c r="A9" s="18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</row>
    <row r="10" spans="1:21" ht="43.5" customHeight="1" thickBot="1" x14ac:dyDescent="0.25">
      <c r="A10" s="18" t="s">
        <v>49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12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30</v>
      </c>
      <c r="R10" s="18">
        <v>0</v>
      </c>
      <c r="S10" s="18">
        <v>0</v>
      </c>
      <c r="T10" s="18">
        <v>0</v>
      </c>
      <c r="U10" s="18">
        <v>0</v>
      </c>
    </row>
    <row r="11" spans="1:21" ht="43.5" customHeight="1" thickBot="1" x14ac:dyDescent="0.25">
      <c r="A11" s="18" t="s">
        <v>59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2</v>
      </c>
      <c r="N11" s="18">
        <v>0</v>
      </c>
      <c r="O11" s="18">
        <v>0</v>
      </c>
      <c r="P11" s="18">
        <v>5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</row>
    <row r="12" spans="1:21" ht="43.5" customHeight="1" thickBot="1" x14ac:dyDescent="0.25">
      <c r="A12" s="18" t="s">
        <v>60</v>
      </c>
      <c r="B12" s="18">
        <v>0</v>
      </c>
      <c r="C12" s="18">
        <v>0</v>
      </c>
      <c r="D12" s="18">
        <v>0</v>
      </c>
      <c r="E12" s="18">
        <v>0</v>
      </c>
      <c r="F12" s="18">
        <v>22</v>
      </c>
      <c r="G12" s="18">
        <v>0</v>
      </c>
      <c r="H12" s="18">
        <v>6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</row>
    <row r="13" spans="1:21" ht="43.5" customHeight="1" thickBot="1" x14ac:dyDescent="0.25">
      <c r="A13" s="18" t="s">
        <v>61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43.5" customHeight="1" thickBot="1" x14ac:dyDescent="0.25">
      <c r="A14" s="18" t="s">
        <v>62</v>
      </c>
      <c r="B14" s="18">
        <v>0</v>
      </c>
      <c r="C14" s="18">
        <v>0</v>
      </c>
      <c r="D14" s="18">
        <v>0</v>
      </c>
      <c r="E14" s="18">
        <v>0</v>
      </c>
      <c r="F14" s="18">
        <v>24</v>
      </c>
      <c r="G14" s="18">
        <v>0</v>
      </c>
      <c r="H14" s="18">
        <v>8</v>
      </c>
      <c r="I14" s="18">
        <v>0</v>
      </c>
      <c r="J14" s="18">
        <v>0</v>
      </c>
      <c r="K14" s="18">
        <v>0</v>
      </c>
      <c r="L14" s="18">
        <v>2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43.5" customHeight="1" thickBot="1" x14ac:dyDescent="0.25">
      <c r="A15" s="18" t="s">
        <v>63</v>
      </c>
      <c r="B15" s="18">
        <v>0</v>
      </c>
      <c r="C15" s="18">
        <v>0</v>
      </c>
      <c r="D15" s="18">
        <v>0</v>
      </c>
      <c r="E15" s="18">
        <v>0</v>
      </c>
      <c r="F15" s="18">
        <v>27</v>
      </c>
      <c r="G15" s="18">
        <v>0</v>
      </c>
      <c r="H15" s="18">
        <v>9</v>
      </c>
      <c r="I15" s="18">
        <v>0</v>
      </c>
      <c r="J15" s="18">
        <v>0</v>
      </c>
      <c r="K15" s="18">
        <v>0</v>
      </c>
      <c r="L15" s="18">
        <v>5</v>
      </c>
      <c r="M15" s="18">
        <v>0</v>
      </c>
      <c r="N15" s="18">
        <v>3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43.5" customHeight="1" thickBot="1" x14ac:dyDescent="0.25">
      <c r="A16" s="18" t="s">
        <v>64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4</v>
      </c>
      <c r="S16" s="18">
        <v>0</v>
      </c>
      <c r="T16" s="18">
        <v>0</v>
      </c>
      <c r="U16" s="18">
        <v>2</v>
      </c>
    </row>
    <row r="17" spans="1:21" ht="43.5" customHeight="1" thickBot="1" x14ac:dyDescent="0.25">
      <c r="A17" s="18" t="s">
        <v>50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43.5" customHeight="1" thickBot="1" x14ac:dyDescent="0.25">
      <c r="A18" s="18" t="s">
        <v>51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ht="43.5" customHeight="1" thickBot="1" x14ac:dyDescent="0.25">
      <c r="A19" s="18" t="s">
        <v>52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4</v>
      </c>
      <c r="P19" s="18">
        <v>0</v>
      </c>
      <c r="Q19" s="18">
        <v>0</v>
      </c>
      <c r="R19" s="18">
        <v>0</v>
      </c>
      <c r="S19" s="18">
        <v>0</v>
      </c>
      <c r="T19" s="18">
        <v>2</v>
      </c>
      <c r="U19" s="18">
        <v>0</v>
      </c>
    </row>
    <row r="20" spans="1:21" ht="43.5" customHeight="1" thickBot="1" x14ac:dyDescent="0.25">
      <c r="A20" s="18" t="s">
        <v>65</v>
      </c>
      <c r="B20" s="18">
        <v>0</v>
      </c>
      <c r="C20" s="18">
        <v>0</v>
      </c>
      <c r="D20" s="18">
        <v>0</v>
      </c>
      <c r="E20" s="18">
        <v>0</v>
      </c>
      <c r="F20" s="18">
        <v>29</v>
      </c>
      <c r="G20" s="18">
        <v>0</v>
      </c>
      <c r="H20" s="18">
        <v>12</v>
      </c>
      <c r="I20" s="18">
        <v>0</v>
      </c>
      <c r="J20" s="18">
        <v>26</v>
      </c>
      <c r="K20" s="18">
        <v>0</v>
      </c>
      <c r="L20" s="18">
        <v>7</v>
      </c>
      <c r="M20" s="18">
        <v>0</v>
      </c>
      <c r="N20" s="18">
        <v>5</v>
      </c>
      <c r="O20" s="18">
        <v>4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</row>
    <row r="21" spans="1:21" ht="43.5" customHeight="1" thickBot="1" x14ac:dyDescent="0.25">
      <c r="A21" s="18" t="s">
        <v>66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2</v>
      </c>
      <c r="S21" s="18">
        <v>0</v>
      </c>
      <c r="T21" s="18">
        <v>0</v>
      </c>
      <c r="U21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Data_Wisata</vt:lpstr>
      <vt:lpstr>Informasi Halte</vt:lpstr>
      <vt:lpstr>F_ab</vt:lpstr>
      <vt:lpstr>theta</vt:lpstr>
      <vt:lpstr>distance_d</vt:lpstr>
      <vt:lpstr>time_t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Suharyadi</dc:creator>
  <cp:lastModifiedBy>Banu Suharyadi</cp:lastModifiedBy>
  <dcterms:created xsi:type="dcterms:W3CDTF">2026-02-11T22:33:08Z</dcterms:created>
  <dcterms:modified xsi:type="dcterms:W3CDTF">2026-02-13T07:54:13Z</dcterms:modified>
</cp:coreProperties>
</file>